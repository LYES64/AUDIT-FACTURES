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Poses" sheetId="1" r:id="rId5"/>
    <sheet state="visible" name="Suivi SAV" sheetId="2" r:id="rId6"/>
    <sheet state="visible" name="Suivi Factures" sheetId="3" r:id="rId7"/>
    <sheet state="visible" name="F2026-16" sheetId="4" r:id="rId8"/>
    <sheet state="visible" name="F2026-17" sheetId="5" r:id="rId9"/>
    <sheet state="visible" name="F2026-18" sheetId="6" r:id="rId10"/>
    <sheet state="visible" name="Feuille 12" sheetId="7" r:id="rId11"/>
    <sheet state="visible" name="F2026-19" sheetId="8" r:id="rId12"/>
    <sheet state="visible" name="F2026-20" sheetId="9" r:id="rId13"/>
    <sheet state="visible" name="F2026-21" sheetId="10" r:id="rId14"/>
    <sheet state="visible" name="F2026-22" sheetId="11" r:id="rId15"/>
    <sheet state="visible" name="F2026-23" sheetId="12" r:id="rId16"/>
    <sheet state="visible" name="Copy" sheetId="13" r:id="rId17"/>
    <sheet state="visible" name="Feuille 14" sheetId="14" r:id="rId18"/>
    <sheet state="visible" name="Copie de non facturé" sheetId="15" r:id="rId19"/>
    <sheet state="visible" name="F2026-24" sheetId="16" r:id="rId20"/>
  </sheets>
  <definedNames>
    <definedName hidden="1" localSheetId="0" name="_xlnm._FilterDatabase">'Suivi Poses'!$A$2:$AD$43</definedName>
    <definedName hidden="1" localSheetId="1" name="_xlnm._FilterDatabase">'Suivi SAV'!$A$2:$Y$36</definedName>
    <definedName hidden="1" localSheetId="2" name="_xlnm._FilterDatabase">'Suivi Factures'!$A$2:$W$62</definedName>
  </definedNames>
  <calcPr/>
</workbook>
</file>

<file path=xl/sharedStrings.xml><?xml version="1.0" encoding="utf-8"?>
<sst xmlns="http://schemas.openxmlformats.org/spreadsheetml/2006/main" count="1031" uniqueCount="336">
  <si>
    <t>Suivi Poses IRSH</t>
  </si>
  <si>
    <t>Client</t>
  </si>
  <si>
    <t>DIA</t>
  </si>
  <si>
    <t>CP</t>
  </si>
  <si>
    <t>Date Pose</t>
  </si>
  <si>
    <t>Montant</t>
  </si>
  <si>
    <t>Posé?</t>
  </si>
  <si>
    <t>Photos</t>
  </si>
  <si>
    <t>CRI</t>
  </si>
  <si>
    <t>Validé par Lyes</t>
  </si>
  <si>
    <t>Starfix 50€</t>
  </si>
  <si>
    <t>Observation</t>
  </si>
  <si>
    <t>Validé par BE</t>
  </si>
  <si>
    <t xml:space="preserve">Nouveau Montant </t>
  </si>
  <si>
    <t>Facturé?</t>
  </si>
  <si>
    <t>Nº Facture</t>
  </si>
  <si>
    <t>MOUHEL YVES</t>
  </si>
  <si>
    <t>DIAP133927</t>
  </si>
  <si>
    <t>OUI</t>
  </si>
  <si>
    <t>F2026-01-IRSH</t>
  </si>
  <si>
    <t>ROLLAND PHILIPPE</t>
  </si>
  <si>
    <t>DIAP133813</t>
  </si>
  <si>
    <t>VEUILLAULT DANIELLE</t>
  </si>
  <si>
    <t>DIAP134040</t>
  </si>
  <si>
    <t xml:space="preserve">FRIMAS Bernard </t>
  </si>
  <si>
    <t>DIAP133755</t>
  </si>
  <si>
    <t>06160</t>
  </si>
  <si>
    <t>F2026-02-IRSH</t>
  </si>
  <si>
    <t>CORVISIER Annie</t>
  </si>
  <si>
    <t>DIAP133804</t>
  </si>
  <si>
    <t>06600</t>
  </si>
  <si>
    <t>WORMSER CLAUDE</t>
  </si>
  <si>
    <t>DIAP134041</t>
  </si>
  <si>
    <t>64600</t>
  </si>
  <si>
    <t>ATZORI OLIVIER</t>
  </si>
  <si>
    <t>DIAP133662</t>
  </si>
  <si>
    <t>83550</t>
  </si>
  <si>
    <t>PERRIN SOPHIE</t>
  </si>
  <si>
    <t>DIAP134059</t>
  </si>
  <si>
    <t>64140</t>
  </si>
  <si>
    <t>Reportée</t>
  </si>
  <si>
    <t>GRIN NATHALIE ET LIONEL</t>
  </si>
  <si>
    <t>DIAP133101</t>
  </si>
  <si>
    <t>33710</t>
  </si>
  <si>
    <t>NON</t>
  </si>
  <si>
    <t>SCORDO PASCAL</t>
  </si>
  <si>
    <t>DIAP133481</t>
  </si>
  <si>
    <t>CABRIERE MARIE ET DANIEL</t>
  </si>
  <si>
    <t>DIAP133362</t>
  </si>
  <si>
    <t>06200</t>
  </si>
  <si>
    <t>JUZANS JOSIANE</t>
  </si>
  <si>
    <t>DIAP134072</t>
  </si>
  <si>
    <t>64120</t>
  </si>
  <si>
    <t>IGLESIAS MANUEL</t>
  </si>
  <si>
    <t>DIAP134217</t>
  </si>
  <si>
    <t>64290</t>
  </si>
  <si>
    <t>PEROTTINO GERARD</t>
  </si>
  <si>
    <t>DIAP133795</t>
  </si>
  <si>
    <t>06510</t>
  </si>
  <si>
    <t>ZIOLKOWSKI DIDIER</t>
  </si>
  <si>
    <t>DIAP133141</t>
  </si>
  <si>
    <t>06260</t>
  </si>
  <si>
    <t>CLOUET CHRISTIANE</t>
  </si>
  <si>
    <t>DIAP134199</t>
  </si>
  <si>
    <t>65380</t>
  </si>
  <si>
    <t>CASTEJON JOSEPH</t>
  </si>
  <si>
    <t>DIAP134242</t>
  </si>
  <si>
    <t>64400</t>
  </si>
  <si>
    <t>DIAP133660</t>
  </si>
  <si>
    <t>JAILLON CLAUDE</t>
  </si>
  <si>
    <t>DIAP133517</t>
  </si>
  <si>
    <t>40480</t>
  </si>
  <si>
    <t>GUIGO LORENZO FREDERIQUE</t>
  </si>
  <si>
    <t>DIAP134158</t>
  </si>
  <si>
    <t>BOUCHER GILBERT</t>
  </si>
  <si>
    <t>DIAP133933</t>
  </si>
  <si>
    <t>06300</t>
  </si>
  <si>
    <t>VANDURME DANIELE</t>
  </si>
  <si>
    <t>DIAP134323</t>
  </si>
  <si>
    <t>06150</t>
  </si>
  <si>
    <t>FROMONT CHANTALINE ET BETTOLI GERARD</t>
  </si>
  <si>
    <t>DIAP133969</t>
  </si>
  <si>
    <t>MINGAM BERTRAND ET FRANCIS</t>
  </si>
  <si>
    <t>DIAP134122</t>
  </si>
  <si>
    <t>83000</t>
  </si>
  <si>
    <t>BIBE Paul</t>
  </si>
  <si>
    <t>DIAP134080</t>
  </si>
  <si>
    <t>64110</t>
  </si>
  <si>
    <t>CHAMAK Paul</t>
  </si>
  <si>
    <t>DIAP134211</t>
  </si>
  <si>
    <t>LECOQ Annick</t>
  </si>
  <si>
    <t>DIAP133783</t>
  </si>
  <si>
    <t>06110</t>
  </si>
  <si>
    <t>CHAMPENOIS FRANCOISE</t>
  </si>
  <si>
    <t>DIAP133777</t>
  </si>
  <si>
    <t>06210</t>
  </si>
  <si>
    <t>MANAS Marine Et Henri</t>
  </si>
  <si>
    <t>DIAP 134339</t>
  </si>
  <si>
    <t>40150</t>
  </si>
  <si>
    <t>verge brigitte</t>
  </si>
  <si>
    <t>83440</t>
  </si>
  <si>
    <t>ZUBIETA JPIERRE</t>
  </si>
  <si>
    <t>64100</t>
  </si>
  <si>
    <t>WEBER RAYMOND</t>
  </si>
  <si>
    <t>DIAP134381</t>
  </si>
  <si>
    <t>64320</t>
  </si>
  <si>
    <t>COMMANDEUR COLETTE ET JEAN</t>
  </si>
  <si>
    <t>DIAP134443</t>
  </si>
  <si>
    <t>83250</t>
  </si>
  <si>
    <t xml:space="preserve">PASTORINO ALEXIS </t>
  </si>
  <si>
    <t>Escaffre jean</t>
  </si>
  <si>
    <t>Suivi SAV IRSH</t>
  </si>
  <si>
    <t>Date SAV</t>
  </si>
  <si>
    <t>Effectué?</t>
  </si>
  <si>
    <t>LE FRANCOIS CHRISTINE</t>
  </si>
  <si>
    <t>DIA113403</t>
  </si>
  <si>
    <t>64480</t>
  </si>
  <si>
    <t>PARPAILLON PIERRETTE</t>
  </si>
  <si>
    <t>DIAR85986</t>
  </si>
  <si>
    <t>LASSUS DENIS</t>
  </si>
  <si>
    <t>DIA113374</t>
  </si>
  <si>
    <t>33400</t>
  </si>
  <si>
    <t>LARROUCAU RENE</t>
  </si>
  <si>
    <t>DIAR86086</t>
  </si>
  <si>
    <t>64330</t>
  </si>
  <si>
    <t>LEMAIRE ALAIN</t>
  </si>
  <si>
    <t>DIA113761</t>
  </si>
  <si>
    <t>40330</t>
  </si>
  <si>
    <t>Suivi Factures IRSH</t>
  </si>
  <si>
    <t>Date Facturation</t>
  </si>
  <si>
    <t xml:space="preserve">État </t>
  </si>
  <si>
    <t>Date Réglement</t>
  </si>
  <si>
    <t xml:space="preserve">F092025 </t>
  </si>
  <si>
    <t>Payée</t>
  </si>
  <si>
    <t>AV01 et AV02 réglés dans ce virement  le montant recu est 12111,04€</t>
  </si>
  <si>
    <t>AV01_Facture avoir</t>
  </si>
  <si>
    <t>AV02_Facture avoir</t>
  </si>
  <si>
    <t>F1225-01-IRSH</t>
  </si>
  <si>
    <t>F1225-02-IRSH</t>
  </si>
  <si>
    <t>F1225-03-IRSH</t>
  </si>
  <si>
    <t>F1225-04-IRSH</t>
  </si>
  <si>
    <t>F1225-05-IRSH</t>
  </si>
  <si>
    <t>F1225-06-IRSH</t>
  </si>
  <si>
    <t>F1225-07-IRSH</t>
  </si>
  <si>
    <t>F1225-08-IRSH</t>
  </si>
  <si>
    <t>F1225-09-IRSH</t>
  </si>
  <si>
    <t>F1225-10-IRSH</t>
  </si>
  <si>
    <t>F1225-11-IRSH</t>
  </si>
  <si>
    <t>F1225-12-IRSH</t>
  </si>
  <si>
    <t>F1225-13-IRSH</t>
  </si>
  <si>
    <t>F1225-14-IRSH</t>
  </si>
  <si>
    <t>F1225-15REV</t>
  </si>
  <si>
    <t>F1225-16-IRSH</t>
  </si>
  <si>
    <t>F1225-17-IRSH</t>
  </si>
  <si>
    <t>F1225-18-IRSH</t>
  </si>
  <si>
    <t>F2026-03-IRSH</t>
  </si>
  <si>
    <t>F2026-04-IRSH</t>
  </si>
  <si>
    <t>F2026-05-IRSH</t>
  </si>
  <si>
    <t>F2026-06-IRSH</t>
  </si>
  <si>
    <t>F2026-07-IRSH</t>
  </si>
  <si>
    <t>F2026-08-IRSH</t>
  </si>
  <si>
    <t>F2026-09-IRSH</t>
  </si>
  <si>
    <t>F2026-10-IRSH</t>
  </si>
  <si>
    <t>F2026-11-REV</t>
  </si>
  <si>
    <t>F2026-12-IRSH</t>
  </si>
  <si>
    <t>F2026-13-IRSH</t>
  </si>
  <si>
    <t>F2026-14-IRSH</t>
  </si>
  <si>
    <t>AV06</t>
  </si>
  <si>
    <t>AV07</t>
  </si>
  <si>
    <t>AV08</t>
  </si>
  <si>
    <t>AV09</t>
  </si>
  <si>
    <t>AV10</t>
  </si>
  <si>
    <t>AV11</t>
  </si>
  <si>
    <t>AV12</t>
  </si>
  <si>
    <t>AV13</t>
  </si>
  <si>
    <t>F2026-15</t>
  </si>
  <si>
    <t>AV14</t>
  </si>
  <si>
    <t>Pas Payée</t>
  </si>
  <si>
    <t>Total</t>
  </si>
  <si>
    <t>Facture N°</t>
  </si>
  <si>
    <t>F2026-16</t>
  </si>
  <si>
    <t xml:space="preserve">Date </t>
  </si>
  <si>
    <t xml:space="preserve">ENTREPRISE : </t>
  </si>
  <si>
    <t xml:space="preserve">ETS OUHADDAD </t>
  </si>
  <si>
    <t>IRSH
7 Allée Loewy
87068 LIMOGES</t>
  </si>
  <si>
    <t xml:space="preserve">Adresse : </t>
  </si>
  <si>
    <t>2 Impasse Joliot Curie 64110 Jurançon</t>
  </si>
  <si>
    <t>Siret :</t>
  </si>
  <si>
    <t xml:space="preserve">Téléphone : </t>
  </si>
  <si>
    <t>06 79 79 59 93</t>
  </si>
  <si>
    <t xml:space="preserve">Prescripteur : </t>
  </si>
  <si>
    <t>OUHADDAD Lyes</t>
  </si>
  <si>
    <t xml:space="preserve">Client </t>
  </si>
  <si>
    <t>Discription</t>
  </si>
  <si>
    <t>Montant HT €</t>
  </si>
  <si>
    <t>Moya rene</t>
  </si>
  <si>
    <t>DIAP134499</t>
  </si>
  <si>
    <t>64300</t>
  </si>
  <si>
    <t>POSE DOUCHE</t>
  </si>
  <si>
    <t>momas michel</t>
  </si>
  <si>
    <t>DIAP134529</t>
  </si>
  <si>
    <t>64000</t>
  </si>
  <si>
    <t>colas guy</t>
  </si>
  <si>
    <t>DIAP134518</t>
  </si>
  <si>
    <t>40990</t>
  </si>
  <si>
    <t>Détail de la TVA</t>
  </si>
  <si>
    <t xml:space="preserve">Base HT </t>
  </si>
  <si>
    <t>Taux</t>
  </si>
  <si>
    <t>(Pas deTVA ) Autoliquidation</t>
  </si>
  <si>
    <t xml:space="preserve">Échéance : </t>
  </si>
  <si>
    <t>A réception de la facture</t>
  </si>
  <si>
    <t xml:space="preserve">Règlement : </t>
  </si>
  <si>
    <t>Virement bancaire</t>
  </si>
  <si>
    <t>Coordonnées bancaires</t>
  </si>
  <si>
    <t xml:space="preserve">IBAN </t>
  </si>
  <si>
    <t>FR76 1695 8000 0167 2903 2970 477</t>
  </si>
  <si>
    <t>BIC</t>
  </si>
  <si>
    <t>QNTOFRP1XXX</t>
  </si>
  <si>
    <t>Pas d'escompte pour règlement anticipé. En cas de retard de paiement, une pénalité egale à 3 fois le taux d'intérêt légal sera exigible (Article L 441-10, alinéa 12 du Code du Commerce).
Pour tout professionnel, en sus des indemnités de retard, toute somme, y compris l'acompte, non payée à sa date d'exigibilité produira de plein droit le paiement d'une indemnité forfaitaire de 40 euros due au titre des frais de recouvrement (Article D. 441-5 du Code du Commerce).</t>
  </si>
  <si>
    <t>F2026-17</t>
  </si>
  <si>
    <t>SAINT MARTIN</t>
  </si>
  <si>
    <t>DIAP134667</t>
  </si>
  <si>
    <t>DESLUX JEAN</t>
  </si>
  <si>
    <t>DIAP134806</t>
  </si>
  <si>
    <t>40260</t>
  </si>
  <si>
    <t>HOSPITAL MICHEL</t>
  </si>
  <si>
    <t>DIAP134822</t>
  </si>
  <si>
    <t>40130</t>
  </si>
  <si>
    <t>F2026-18</t>
  </si>
  <si>
    <t>MANSUY OLIVIER</t>
  </si>
  <si>
    <t>DIAP134403</t>
  </si>
  <si>
    <t>06250</t>
  </si>
  <si>
    <t>TISSAIRE MARYSE ET MICHEL</t>
  </si>
  <si>
    <t>DIAP134429</t>
  </si>
  <si>
    <t>83400</t>
  </si>
  <si>
    <t>BOUEILH PASCAL</t>
  </si>
  <si>
    <t>DIAP135040</t>
  </si>
  <si>
    <t>Transactions</t>
  </si>
  <si>
    <t>Date de l'opération</t>
  </si>
  <si>
    <t>Moyen de paiement</t>
  </si>
  <si>
    <t>Autocertif</t>
  </si>
  <si>
    <t>-39,99 EUR</t>
  </si>
  <si>
    <t>ARRAOU ET ASSOCIES SAS</t>
  </si>
  <si>
    <t>-1 400,00 EUR</t>
  </si>
  <si>
    <t>Virement</t>
  </si>
  <si>
    <t>F2026-19</t>
  </si>
  <si>
    <t>HERREYRE MARIETHERESE</t>
  </si>
  <si>
    <t>DIAP135008</t>
  </si>
  <si>
    <t>LARREDE MICHELE ET JEAN-CLAUDE</t>
  </si>
  <si>
    <t>DIAP133158</t>
  </si>
  <si>
    <t>PANTANI ANTOINE</t>
  </si>
  <si>
    <t>DIAP134837</t>
  </si>
  <si>
    <t>F2026-20</t>
  </si>
  <si>
    <t>Dépose Répose Douche</t>
  </si>
  <si>
    <t>FAUCONNIER GERARD ET MICHELE</t>
  </si>
  <si>
    <t>DIA113780</t>
  </si>
  <si>
    <t>F2026-21</t>
  </si>
  <si>
    <t>Charles Alain</t>
  </si>
  <si>
    <t>DIAP134952</t>
  </si>
  <si>
    <t>Ponte Catherine</t>
  </si>
  <si>
    <t>DIAP135307</t>
  </si>
  <si>
    <t>DA SILVA SILVINO</t>
  </si>
  <si>
    <t>DIAP134483</t>
  </si>
  <si>
    <t>06220</t>
  </si>
  <si>
    <t>F2026-22</t>
  </si>
  <si>
    <t>DISSAUX PATRICK</t>
  </si>
  <si>
    <t>DIAP134682</t>
  </si>
  <si>
    <t>HERVE JOSYANE ET REMI</t>
  </si>
  <si>
    <t>DIAP134950</t>
  </si>
  <si>
    <t>PEZOT COLETTE ET JOSEPH</t>
  </si>
  <si>
    <t>DIAP134873</t>
  </si>
  <si>
    <t>06530</t>
  </si>
  <si>
    <t>F2026-23</t>
  </si>
  <si>
    <t>PELUHET JEAN-MICHEL</t>
  </si>
  <si>
    <t>DIAP134608</t>
  </si>
  <si>
    <t>65220</t>
  </si>
  <si>
    <t>DIAP134414</t>
  </si>
  <si>
    <t>SUBERCAZE JEAN</t>
  </si>
  <si>
    <t>DIAP134675</t>
  </si>
  <si>
    <t>06400</t>
  </si>
  <si>
    <t>F2026-</t>
  </si>
  <si>
    <t>RANDRIAMANANA MARTINE</t>
  </si>
  <si>
    <t>DIAP134673</t>
  </si>
  <si>
    <t>06370</t>
  </si>
  <si>
    <t>BENEDE CATHERINE</t>
  </si>
  <si>
    <t>DIAP135237</t>
  </si>
  <si>
    <t>MONTEAU ODETTE</t>
  </si>
  <si>
    <t>DIAP135358</t>
  </si>
  <si>
    <t>PERBOST JEAN-CLAUDE</t>
  </si>
  <si>
    <t>DIAP134422</t>
  </si>
  <si>
    <t>VERNER ELIANE</t>
  </si>
  <si>
    <t>DIAP134938</t>
  </si>
  <si>
    <t>BOURCEAU RICHARD</t>
  </si>
  <si>
    <t>DIAP134432</t>
  </si>
  <si>
    <t>PINCON SERGE</t>
  </si>
  <si>
    <t>DIAP135287</t>
  </si>
  <si>
    <t>MAYZAUD PATRICK</t>
  </si>
  <si>
    <t>DIAP134901</t>
  </si>
  <si>
    <t>Dalbo Mark</t>
  </si>
  <si>
    <t>DIAP134852</t>
  </si>
  <si>
    <t xml:space="preserve">BOUCHERARA NADIA </t>
  </si>
  <si>
    <t>DIAP135024</t>
  </si>
  <si>
    <t>F2026-08</t>
  </si>
  <si>
    <r>
      <rPr>
        <rFont val="Times New Roman"/>
        <b/>
        <color theme="1"/>
      </rPr>
      <t xml:space="preserve">IRSH
</t>
    </r>
    <r>
      <rPr>
        <rFont val="Times New Roman"/>
        <b val="0"/>
        <color theme="1"/>
      </rPr>
      <t>11 rue Philippe Lebon
87023 LIMOGES CEDEX</t>
    </r>
  </si>
  <si>
    <t>pas fin sav</t>
  </si>
  <si>
    <t>cbn</t>
  </si>
  <si>
    <t>be</t>
  </si>
  <si>
    <t>Travaux supplémentaires, création évacuation douche et raccordement au tuyaux extérieur de la maison 350€</t>
  </si>
  <si>
    <t>starfix</t>
  </si>
  <si>
    <t>100 optimisation evacuation</t>
  </si>
  <si>
    <t>Habillage de toute la salle de bain
Ragréage 150€
Dépose repose meuble vasque 100€</t>
  </si>
  <si>
    <t>Chape béton ancien  emplacement cabine de douche 100 €</t>
  </si>
  <si>
    <t>enleve  250</t>
  </si>
  <si>
    <t>Wc japonais 2 fois j'ai enlever un donc -250 sur la dia</t>
  </si>
  <si>
    <t>CLAUDON NICOLE</t>
  </si>
  <si>
    <t>DIAP135020</t>
  </si>
  <si>
    <t>Modification plomberie 150€</t>
  </si>
  <si>
    <t xml:space="preserve"> pompe de relevag enlever donc - 150</t>
  </si>
  <si>
    <t>100 rembourse toute l'evacuation salle de bain</t>
  </si>
  <si>
    <t>Venturini Jean</t>
  </si>
  <si>
    <t>DIAP134394</t>
  </si>
  <si>
    <t>Coffrage 100€</t>
  </si>
  <si>
    <t>Enlève création Entretoise donc - 100</t>
  </si>
  <si>
    <t>enleve 150</t>
  </si>
  <si>
    <t xml:space="preserve">wc pas installe donc -250 </t>
  </si>
  <si>
    <t>enleve 100</t>
  </si>
  <si>
    <t>TVA</t>
  </si>
  <si>
    <t>enleve 250</t>
  </si>
  <si>
    <t>pas finalise</t>
  </si>
  <si>
    <t xml:space="preserve">sav </t>
  </si>
  <si>
    <t>isabelle darmendrail</t>
  </si>
  <si>
    <t>cbm</t>
  </si>
  <si>
    <t>michel francisco</t>
  </si>
  <si>
    <t>zubreita</t>
  </si>
  <si>
    <t>F2026-24</t>
  </si>
  <si>
    <t>65270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</si>
</sst>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dd/mm/yyyy"/>
    <numFmt numFmtId="166" formatCode="d/m/yyyy"/>
    <numFmt numFmtId="167" formatCode="dd/MM/yyyy"/>
    <numFmt numFmtId="168" formatCode="#,##0.00&quot;€&quot;"/>
    <numFmt numFmtId="169" formatCode="d mmmm yyyy"/>
  </numFmts>
  <fonts count="28">
    <font>
      <sz val="10.0"/>
      <color rgb="FF000000"/>
      <name val="Arial"/>
      <scheme val="minor"/>
    </font>
    <font>
      <b/>
      <sz val="28.0"/>
      <color rgb="FFFFFFFF"/>
      <name val="Inter"/>
    </font>
    <font>
      <b/>
      <sz val="11.0"/>
      <color rgb="FFFFFFFF"/>
      <name val="Inter"/>
    </font>
    <font>
      <color rgb="FF000000"/>
      <name val="Arial"/>
    </font>
    <font>
      <color theme="1"/>
      <name val="Arial"/>
    </font>
    <font>
      <color rgb="FF666666"/>
      <name val="Arial"/>
    </font>
    <font>
      <sz val="12.0"/>
      <color rgb="FFFFFFFF"/>
      <name val="Rubik"/>
    </font>
    <font>
      <color rgb="FF000000"/>
      <name val="Comic Sans MS"/>
    </font>
    <font>
      <color rgb="FFFFFFFF"/>
      <name val="Arial"/>
    </font>
    <font/>
    <font>
      <b/>
      <sz val="9.0"/>
      <color theme="1"/>
      <name val="Georgia"/>
    </font>
    <font>
      <color theme="1"/>
      <name val="Helvetica Neue"/>
    </font>
    <font>
      <sz val="8.0"/>
      <color theme="1"/>
      <name val="Helvetica Neue"/>
    </font>
    <font>
      <sz val="9.0"/>
      <color theme="1"/>
      <name val="Times New Roman"/>
    </font>
    <font>
      <b/>
      <color theme="1"/>
      <name val="Times New Roman"/>
    </font>
    <font>
      <b/>
      <sz val="11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sz val="6.0"/>
      <color theme="1"/>
      <name val="Arial"/>
    </font>
    <font>
      <sz val="8.0"/>
      <color theme="1"/>
      <name val="Georgia"/>
    </font>
    <font>
      <b/>
      <sz val="8.0"/>
      <color theme="1"/>
      <name val="Georgia"/>
    </font>
    <font>
      <color theme="1"/>
      <name val="Times New Roman"/>
    </font>
    <font>
      <sz val="5.0"/>
      <color theme="1"/>
      <name val="Helvetica Neue"/>
    </font>
    <font>
      <b/>
      <sz val="12.0"/>
      <color rgb="FFFFFFFF"/>
      <name val="QontoSans"/>
    </font>
    <font>
      <sz val="11.0"/>
      <color rgb="FFFFFFFF"/>
      <name val="QontoSans"/>
    </font>
    <font>
      <sz val="11.0"/>
      <color rgb="FFFFFFFF"/>
      <name val="Arial"/>
    </font>
    <font>
      <sz val="10.0"/>
      <color theme="1"/>
      <name val="Helvetica Neue"/>
    </font>
    <font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8B1023"/>
        <bgColor rgb="FF8B1023"/>
      </patternFill>
    </fill>
    <fill>
      <patternFill patternType="solid">
        <fgColor rgb="FF3A4F7A"/>
        <bgColor rgb="FF3A4F7A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A1C3C8"/>
        <bgColor rgb="FFA1C3C8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</fills>
  <borders count="36">
    <border/>
    <border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DEE2E6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left style="thin">
        <color rgb="FFEFEFEF"/>
      </left>
      <right style="thin">
        <color rgb="FFEFEFEF"/>
      </right>
    </border>
    <border>
      <left style="medium">
        <color rgb="FFEFEFEF"/>
      </left>
      <top style="medium">
        <color rgb="FFEFEFEF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top style="thin">
        <color rgb="FF000000"/>
      </top>
      <bottom style="thin">
        <color rgb="FFEFEFEF"/>
      </bottom>
    </border>
    <border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2" fillId="4" fontId="3" numFmtId="49" xfId="0" applyAlignment="1" applyBorder="1" applyFont="1" applyNumberFormat="1">
      <alignment horizontal="center" vertical="center"/>
    </xf>
    <xf borderId="2" fillId="4" fontId="3" numFmtId="165" xfId="0" applyAlignment="1" applyBorder="1" applyFont="1" applyNumberForma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2" fillId="4" fontId="5" numFmtId="164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vertical="center"/>
    </xf>
    <xf borderId="0" fillId="5" fontId="4" numFmtId="0" xfId="0" applyFill="1" applyFont="1"/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49" xfId="0" applyAlignment="1" applyBorder="1" applyFont="1" applyNumberFormat="1">
      <alignment horizontal="center" vertical="center"/>
    </xf>
    <xf borderId="5" fillId="0" fontId="3" numFmtId="165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vertical="center"/>
    </xf>
    <xf borderId="5" fillId="4" fontId="3" numFmtId="49" xfId="0" applyAlignment="1" applyBorder="1" applyFont="1" applyNumberFormat="1">
      <alignment horizontal="center" vertical="center"/>
    </xf>
    <xf borderId="5" fillId="4" fontId="3" numFmtId="165" xfId="0" applyAlignment="1" applyBorder="1" applyFont="1" applyNumberFormat="1">
      <alignment horizontal="center" vertical="center"/>
    </xf>
    <xf borderId="5" fillId="4" fontId="4" numFmtId="164" xfId="0" applyAlignment="1" applyBorder="1" applyFont="1" applyNumberFormat="1">
      <alignment horizontal="center" vertical="center"/>
    </xf>
    <xf borderId="5" fillId="4" fontId="5" numFmtId="164" xfId="0" applyAlignment="1" applyBorder="1" applyFont="1" applyNumberFormat="1">
      <alignment horizontal="center" vertical="center"/>
    </xf>
    <xf borderId="6" fillId="4" fontId="3" numFmtId="0" xfId="0" applyAlignment="1" applyBorder="1" applyFont="1">
      <alignment horizontal="center" vertical="center"/>
    </xf>
    <xf borderId="5" fillId="4" fontId="4" numFmtId="164" xfId="0" applyAlignment="1" applyBorder="1" applyFont="1" applyNumberFormat="1">
      <alignment vertical="center"/>
    </xf>
    <xf borderId="5" fillId="4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vertical="center"/>
    </xf>
    <xf borderId="5" fillId="4" fontId="4" numFmtId="49" xfId="0" applyAlignment="1" applyBorder="1" applyFont="1" applyNumberFormat="1">
      <alignment horizontal="center" shrinkToFit="0" vertical="center" wrapText="1"/>
    </xf>
    <xf borderId="5" fillId="4" fontId="4" numFmtId="165" xfId="0" applyAlignment="1" applyBorder="1" applyFont="1" applyNumberFormat="1">
      <alignment horizontal="center" shrinkToFit="0" vertical="center" wrapText="1"/>
    </xf>
    <xf borderId="5" fillId="4" fontId="3" numFmtId="164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vertical="center"/>
    </xf>
    <xf borderId="5" fillId="5" fontId="4" numFmtId="49" xfId="0" applyAlignment="1" applyBorder="1" applyFont="1" applyNumberFormat="1">
      <alignment horizontal="center" shrinkToFit="0" vertical="center" wrapText="1"/>
    </xf>
    <xf borderId="5" fillId="5" fontId="4" numFmtId="165" xfId="0" applyAlignment="1" applyBorder="1" applyFont="1" applyNumberFormat="1">
      <alignment horizontal="center" shrinkToFit="0" vertical="center" wrapText="1"/>
    </xf>
    <xf borderId="5" fillId="5" fontId="3" numFmtId="164" xfId="0" applyAlignment="1" applyBorder="1" applyFont="1" applyNumberForma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5" fontId="3" numFmtId="165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0"/>
    </xf>
    <xf borderId="5" fillId="5" fontId="4" numFmtId="0" xfId="0" applyAlignment="1" applyBorder="1" applyFont="1">
      <alignment vertical="center"/>
    </xf>
    <xf borderId="5" fillId="4" fontId="3" numFmtId="49" xfId="0" applyAlignment="1" applyBorder="1" applyFont="1" applyNumberFormat="1">
      <alignment horizontal="center" shrinkToFit="0" vertical="center" wrapText="1"/>
    </xf>
    <xf borderId="5" fillId="4" fontId="3" numFmtId="165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vertical="center"/>
    </xf>
    <xf borderId="5" fillId="5" fontId="3" numFmtId="49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horizontal="left" vertical="top"/>
    </xf>
    <xf borderId="7" fillId="5" fontId="6" numFmtId="165" xfId="0" applyAlignment="1" applyBorder="1" applyFont="1" applyNumberFormat="1">
      <alignment horizontal="left" vertical="top"/>
    </xf>
    <xf borderId="4" fillId="4" fontId="3" numFmtId="0" xfId="0" applyAlignment="1" applyBorder="1" applyFont="1">
      <alignment horizontal="center" vertical="center"/>
    </xf>
    <xf borderId="5" fillId="5" fontId="3" numFmtId="165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9" fillId="4" fontId="3" numFmtId="49" xfId="0" applyAlignment="1" applyBorder="1" applyFont="1" applyNumberFormat="1">
      <alignment horizontal="center" vertical="center"/>
    </xf>
    <xf borderId="9" fillId="4" fontId="3" numFmtId="164" xfId="0" applyAlignment="1" applyBorder="1" applyFont="1" applyNumberFormat="1">
      <alignment horizontal="center" vertical="center"/>
    </xf>
    <xf borderId="9" fillId="4" fontId="5" numFmtId="164" xfId="0" applyAlignment="1" applyBorder="1" applyFont="1" applyNumberFormat="1">
      <alignment horizontal="center" vertical="center"/>
    </xf>
    <xf borderId="10" fillId="4" fontId="3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vertical="center"/>
    </xf>
    <xf borderId="0" fillId="0" fontId="5" numFmtId="0" xfId="0" applyFont="1"/>
    <xf borderId="0" fillId="0" fontId="4" numFmtId="49" xfId="0" applyFont="1" applyNumberFormat="1"/>
    <xf borderId="11" fillId="0" fontId="7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1" fillId="0" fontId="3" numFmtId="49" xfId="0" applyAlignment="1" applyBorder="1" applyFont="1" applyNumberFormat="1">
      <alignment horizontal="center" vertical="center"/>
    </xf>
    <xf borderId="11" fillId="0" fontId="3" numFmtId="165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0" fillId="4" fontId="4" numFmtId="0" xfId="0" applyAlignment="1" applyFont="1">
      <alignment horizontal="center" shrinkToFit="0" vertical="center" wrapText="1"/>
    </xf>
    <xf borderId="11" fillId="4" fontId="4" numFmtId="49" xfId="0" applyAlignment="1" applyBorder="1" applyFont="1" applyNumberFormat="1">
      <alignment horizontal="center" shrinkToFit="0" vertical="center" wrapText="1"/>
    </xf>
    <xf borderId="0" fillId="4" fontId="4" numFmtId="165" xfId="0" applyAlignment="1" applyFont="1" applyNumberFormat="1">
      <alignment horizontal="center" shrinkToFit="0" vertical="center" wrapText="1"/>
    </xf>
    <xf borderId="12" fillId="4" fontId="3" numFmtId="164" xfId="0" applyAlignment="1" applyBorder="1" applyFont="1" applyNumberFormat="1">
      <alignment horizontal="center" vertical="center"/>
    </xf>
    <xf borderId="12" fillId="4" fontId="3" numFmtId="0" xfId="0" applyAlignment="1" applyBorder="1" applyFont="1">
      <alignment horizontal="center" vertical="center"/>
    </xf>
    <xf borderId="0" fillId="5" fontId="4" numFmtId="0" xfId="0" applyAlignment="1" applyFont="1">
      <alignment horizontal="center" shrinkToFit="0" vertical="center" wrapText="1"/>
    </xf>
    <xf borderId="11" fillId="5" fontId="4" numFmtId="49" xfId="0" applyAlignment="1" applyBorder="1" applyFont="1" applyNumberFormat="1">
      <alignment horizontal="center" shrinkToFit="0" vertical="center" wrapText="1"/>
    </xf>
    <xf borderId="0" fillId="5" fontId="4" numFmtId="165" xfId="0" applyAlignment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11" fillId="4" fontId="3" numFmtId="164" xfId="0" applyAlignment="1" applyBorder="1" applyFont="1" applyNumberFormat="1">
      <alignment horizontal="center" vertical="center"/>
    </xf>
    <xf borderId="11" fillId="4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vertical="center"/>
    </xf>
    <xf borderId="0" fillId="5" fontId="6" numFmtId="0" xfId="0" applyAlignment="1" applyFont="1">
      <alignment horizontal="left" vertical="top"/>
    </xf>
    <xf borderId="0" fillId="5" fontId="6" numFmtId="166" xfId="0" applyAlignment="1" applyFont="1" applyNumberFormat="1">
      <alignment horizontal="left" vertical="top"/>
    </xf>
    <xf borderId="0" fillId="5" fontId="6" numFmtId="165" xfId="0" applyAlignment="1" applyFont="1" applyNumberFormat="1">
      <alignment horizontal="left" vertical="top"/>
    </xf>
    <xf borderId="0" fillId="5" fontId="3" numFmtId="0" xfId="0" applyAlignment="1" applyFont="1">
      <alignment horizontal="center" vertical="center"/>
    </xf>
    <xf borderId="11" fillId="5" fontId="3" numFmtId="49" xfId="0" applyAlignment="1" applyBorder="1" applyFont="1" applyNumberFormat="1">
      <alignment horizontal="center" vertical="center"/>
    </xf>
    <xf borderId="11" fillId="5" fontId="3" numFmtId="165" xfId="0" applyAlignment="1" applyBorder="1" applyFont="1" applyNumberFormat="1">
      <alignment horizontal="center" vertical="center"/>
    </xf>
    <xf borderId="11" fillId="4" fontId="4" numFmtId="0" xfId="0" applyAlignment="1" applyBorder="1" applyFont="1">
      <alignment vertical="center"/>
    </xf>
    <xf borderId="11" fillId="5" fontId="4" numFmtId="0" xfId="0" applyAlignment="1" applyBorder="1" applyFont="1">
      <alignment vertical="center"/>
    </xf>
    <xf borderId="0" fillId="4" fontId="3" numFmtId="0" xfId="0" applyAlignment="1" applyFont="1">
      <alignment horizontal="center" vertical="center"/>
    </xf>
    <xf borderId="11" fillId="4" fontId="3" numFmtId="49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164" xfId="0" applyFont="1" applyNumberFormat="1"/>
    <xf borderId="5" fillId="5" fontId="3" numFmtId="167" xfId="0" applyAlignment="1" applyBorder="1" applyFont="1" applyNumberFormat="1">
      <alignment horizontal="center" vertical="center"/>
    </xf>
    <xf borderId="5" fillId="5" fontId="3" numFmtId="164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shrinkToFit="0" vertical="center" wrapText="1"/>
    </xf>
    <xf borderId="0" fillId="4" fontId="3" numFmtId="167" xfId="0" applyAlignment="1" applyFont="1" applyNumberForma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13" fillId="4" fontId="8" numFmtId="0" xfId="0" applyAlignment="1" applyBorder="1" applyFont="1">
      <alignment horizontal="center" vertical="center"/>
    </xf>
    <xf borderId="14" fillId="0" fontId="9" numFmtId="0" xfId="0" applyBorder="1" applyFont="1"/>
    <xf borderId="0" fillId="5" fontId="3" numFmtId="167" xfId="0" applyAlignment="1" applyFont="1" applyNumberFormat="1">
      <alignment horizontal="center" vertical="center"/>
    </xf>
    <xf borderId="0" fillId="5" fontId="3" numFmtId="164" xfId="0" applyAlignment="1" applyFont="1" applyNumberFormat="1">
      <alignment horizontal="center" vertical="center"/>
    </xf>
    <xf borderId="15" fillId="5" fontId="8" numFmtId="0" xfId="0" applyAlignment="1" applyBorder="1" applyFont="1">
      <alignment horizontal="center" vertical="center"/>
    </xf>
    <xf borderId="9" fillId="5" fontId="3" numFmtId="165" xfId="0" applyAlignment="1" applyBorder="1" applyFont="1" applyNumberFormat="1">
      <alignment horizontal="center" vertical="center"/>
    </xf>
    <xf borderId="2" fillId="0" fontId="9" numFmtId="0" xfId="0" applyBorder="1" applyFont="1"/>
    <xf borderId="1" fillId="4" fontId="3" numFmtId="0" xfId="0" applyAlignment="1" applyBorder="1" applyFont="1">
      <alignment horizontal="center" vertical="center"/>
    </xf>
    <xf borderId="2" fillId="4" fontId="3" numFmtId="167" xfId="0" applyAlignment="1" applyBorder="1" applyFont="1" applyNumberForma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3" numFmtId="167" xfId="0" applyAlignment="1" applyBorder="1" applyFont="1" applyNumberFormat="1">
      <alignment horizontal="center" vertical="center"/>
    </xf>
    <xf borderId="3" fillId="4" fontId="3" numFmtId="167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6" fillId="5" fontId="3" numFmtId="167" xfId="0" applyAlignment="1" applyBorder="1" applyFont="1" applyNumberFormat="1">
      <alignment horizontal="center" vertical="center"/>
    </xf>
    <xf borderId="6" fillId="4" fontId="3" numFmtId="167" xfId="0" applyAlignment="1" applyBorder="1" applyFont="1" applyNumberFormat="1">
      <alignment horizontal="center" vertical="center"/>
    </xf>
    <xf borderId="8" fillId="5" fontId="3" numFmtId="0" xfId="0" applyAlignment="1" applyBorder="1" applyFont="1">
      <alignment horizontal="center" vertical="center"/>
    </xf>
    <xf borderId="9" fillId="5" fontId="3" numFmtId="167" xfId="0" applyAlignment="1" applyBorder="1" applyFont="1" applyNumberFormat="1">
      <alignment horizontal="center" vertical="center"/>
    </xf>
    <xf borderId="9" fillId="5" fontId="3" numFmtId="164" xfId="0" applyAlignment="1" applyBorder="1" applyFont="1" applyNumberFormat="1">
      <alignment horizontal="center" vertical="center"/>
    </xf>
    <xf borderId="9" fillId="5" fontId="8" numFmtId="0" xfId="0" applyAlignment="1" applyBorder="1" applyFont="1">
      <alignment horizontal="center" vertical="center"/>
    </xf>
    <xf borderId="10" fillId="5" fontId="3" numFmtId="167" xfId="0" applyAlignment="1" applyBorder="1" applyFont="1" applyNumberFormat="1">
      <alignment horizontal="center" vertical="center"/>
    </xf>
    <xf borderId="16" fillId="4" fontId="3" numFmtId="0" xfId="0" applyAlignment="1" applyBorder="1" applyFont="1">
      <alignment horizontal="center" vertical="center"/>
    </xf>
    <xf borderId="17" fillId="4" fontId="3" numFmtId="167" xfId="0" applyAlignment="1" applyBorder="1" applyFont="1" applyNumberFormat="1">
      <alignment horizontal="center" vertical="center"/>
    </xf>
    <xf borderId="17" fillId="4" fontId="3" numFmtId="164" xfId="0" applyAlignment="1" applyBorder="1" applyFont="1" applyNumberFormat="1">
      <alignment horizontal="center" vertical="center"/>
    </xf>
    <xf borderId="17" fillId="4" fontId="8" numFmtId="0" xfId="0" applyAlignment="1" applyBorder="1" applyFont="1">
      <alignment horizontal="center" vertical="center"/>
    </xf>
    <xf borderId="18" fillId="4" fontId="3" numFmtId="167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vertical="center"/>
    </xf>
    <xf borderId="5" fillId="5" fontId="4" numFmtId="164" xfId="0" applyAlignment="1" applyBorder="1" applyFont="1" applyNumberFormat="1">
      <alignment horizontal="center" shrinkToFit="0" vertical="center" wrapText="1"/>
    </xf>
    <xf borderId="5" fillId="4" fontId="4" numFmtId="164" xfId="0" applyAlignment="1" applyBorder="1" applyFont="1" applyNumberFormat="1">
      <alignment horizontal="center" shrinkToFit="0" vertical="center" wrapText="1"/>
    </xf>
    <xf borderId="0" fillId="0" fontId="4" numFmtId="168" xfId="0" applyFont="1" applyNumberFormat="1"/>
    <xf borderId="1" fillId="5" fontId="3" numFmtId="0" xfId="0" applyAlignment="1" applyBorder="1" applyFont="1">
      <alignment horizontal="center" vertical="center"/>
    </xf>
    <xf borderId="4" fillId="5" fontId="4" numFmtId="0" xfId="0" applyBorder="1" applyFont="1"/>
    <xf borderId="5" fillId="5" fontId="4" numFmtId="0" xfId="0" applyBorder="1" applyFont="1"/>
    <xf borderId="5" fillId="5" fontId="8" numFmtId="0" xfId="0" applyBorder="1" applyFont="1"/>
    <xf borderId="6" fillId="5" fontId="4" numFmtId="0" xfId="0" applyBorder="1" applyFont="1"/>
    <xf borderId="4" fillId="4" fontId="4" numFmtId="0" xfId="0" applyBorder="1" applyFont="1"/>
    <xf borderId="5" fillId="4" fontId="4" numFmtId="0" xfId="0" applyBorder="1" applyFont="1"/>
    <xf borderId="5" fillId="4" fontId="8" numFmtId="0" xfId="0" applyBorder="1" applyFont="1"/>
    <xf borderId="6" fillId="4" fontId="4" numFmtId="0" xfId="0" applyBorder="1" applyFont="1"/>
    <xf borderId="8" fillId="4" fontId="4" numFmtId="0" xfId="0" applyBorder="1" applyFont="1"/>
    <xf borderId="9" fillId="4" fontId="4" numFmtId="0" xfId="0" applyBorder="1" applyFont="1"/>
    <xf borderId="10" fillId="4" fontId="4" numFmtId="0" xfId="0" applyBorder="1" applyFont="1"/>
    <xf borderId="19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20" fillId="6" fontId="10" numFmtId="0" xfId="0" applyAlignment="1" applyBorder="1" applyFill="1" applyFont="1">
      <alignment shrinkToFit="0" vertical="bottom" wrapText="1"/>
    </xf>
    <xf borderId="0" fillId="0" fontId="11" numFmtId="0" xfId="0" applyAlignment="1" applyFont="1">
      <alignment horizontal="center" vertical="bottom"/>
    </xf>
    <xf borderId="21" fillId="6" fontId="10" numFmtId="0" xfId="0" applyAlignment="1" applyBorder="1" applyFont="1">
      <alignment shrinkToFit="0" vertical="bottom" wrapText="1"/>
    </xf>
    <xf borderId="0" fillId="5" fontId="12" numFmtId="165" xfId="0" applyAlignment="1" applyFont="1" applyNumberFormat="1">
      <alignment horizontal="center" shrinkToFit="0" vertical="bottom" wrapText="1"/>
    </xf>
    <xf borderId="0" fillId="0" fontId="13" numFmtId="0" xfId="0" applyAlignment="1" applyFont="1">
      <alignment vertical="top"/>
    </xf>
    <xf borderId="0" fillId="0" fontId="14" numFmtId="0" xfId="0" applyAlignment="1" applyFont="1">
      <alignment horizontal="left" vertical="bottom"/>
    </xf>
    <xf borderId="0" fillId="0" fontId="4" numFmtId="0" xfId="0" applyAlignment="1" applyFont="1">
      <alignment horizontal="left" vertical="top"/>
    </xf>
    <xf borderId="0" fillId="0" fontId="14" numFmtId="0" xfId="0" applyAlignment="1" applyFont="1">
      <alignment shrinkToFit="0" vertical="top" wrapText="1"/>
    </xf>
    <xf borderId="0" fillId="0" fontId="4" numFmtId="0" xfId="0" applyAlignment="1" applyFont="1">
      <alignment horizontal="left" vertical="bottom"/>
    </xf>
    <xf borderId="0" fillId="0" fontId="4" numFmtId="1" xfId="0" applyAlignment="1" applyFont="1" applyNumberFormat="1">
      <alignment horizontal="left" vertical="bottom"/>
    </xf>
    <xf borderId="22" fillId="6" fontId="15" numFmtId="0" xfId="0" applyAlignment="1" applyBorder="1" applyFont="1">
      <alignment horizontal="center"/>
    </xf>
    <xf borderId="23" fillId="6" fontId="15" numFmtId="0" xfId="0" applyAlignment="1" applyBorder="1" applyFont="1">
      <alignment horizontal="center"/>
    </xf>
    <xf borderId="24" fillId="0" fontId="9" numFmtId="0" xfId="0" applyBorder="1" applyFont="1"/>
    <xf borderId="22" fillId="5" fontId="4" numFmtId="0" xfId="0" applyAlignment="1" applyBorder="1" applyFont="1">
      <alignment horizontal="center" shrinkToFit="0" vertical="center" wrapText="1"/>
    </xf>
    <xf borderId="22" fillId="5" fontId="4" numFmtId="49" xfId="0" applyAlignment="1" applyBorder="1" applyFont="1" applyNumberFormat="1">
      <alignment horizontal="center" shrinkToFit="0" vertical="center" wrapText="1"/>
    </xf>
    <xf borderId="23" fillId="5" fontId="4" numFmtId="0" xfId="0" applyAlignment="1" applyBorder="1" applyFont="1">
      <alignment horizontal="center" shrinkToFit="0" vertical="center" wrapText="1"/>
    </xf>
    <xf borderId="22" fillId="5" fontId="4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vertical="bottom"/>
    </xf>
    <xf borderId="0" fillId="0" fontId="16" numFmtId="164" xfId="0" applyAlignment="1" applyFont="1" applyNumberFormat="1">
      <alignment horizontal="center" shrinkToFit="0" vertical="bottom" wrapText="1"/>
    </xf>
    <xf borderId="0" fillId="0" fontId="4" numFmtId="164" xfId="0" applyAlignment="1" applyFont="1" applyNumberFormat="1">
      <alignment horizontal="center" shrinkToFit="0" vertical="bottom" wrapText="1"/>
    </xf>
    <xf borderId="25" fillId="6" fontId="17" numFmtId="164" xfId="0" applyAlignment="1" applyBorder="1" applyFont="1" applyNumberFormat="1">
      <alignment horizontal="center" shrinkToFit="0" vertical="bottom" wrapText="1"/>
    </xf>
    <xf borderId="26" fillId="0" fontId="9" numFmtId="0" xfId="0" applyBorder="1" applyFont="1"/>
    <xf borderId="27" fillId="0" fontId="9" numFmtId="0" xfId="0" applyBorder="1" applyFont="1"/>
    <xf borderId="28" fillId="0" fontId="4" numFmtId="164" xfId="0" applyAlignment="1" applyBorder="1" applyFont="1" applyNumberFormat="1">
      <alignment horizontal="center" shrinkToFit="0" vertical="bottom" wrapText="1"/>
    </xf>
    <xf borderId="29" fillId="0" fontId="4" numFmtId="164" xfId="0" applyAlignment="1" applyBorder="1" applyFont="1" applyNumberFormat="1">
      <alignment horizontal="center" vertical="center"/>
    </xf>
    <xf borderId="29" fillId="0" fontId="18" numFmtId="9" xfId="0" applyAlignment="1" applyBorder="1" applyFont="1" applyNumberFormat="1">
      <alignment horizontal="center" vertical="center"/>
    </xf>
    <xf borderId="30" fillId="0" fontId="9" numFmtId="0" xfId="0" applyBorder="1" applyFont="1"/>
    <xf borderId="25" fillId="0" fontId="14" numFmtId="164" xfId="0" applyAlignment="1" applyBorder="1" applyFont="1" applyNumberFormat="1">
      <alignment horizontal="center" vertical="bottom"/>
    </xf>
    <xf borderId="21" fillId="6" fontId="19" numFmtId="0" xfId="0" applyAlignment="1" applyBorder="1" applyFont="1">
      <alignment shrinkToFit="0" vertical="bottom" wrapText="1"/>
    </xf>
    <xf borderId="31" fillId="6" fontId="20" numFmtId="0" xfId="0" applyAlignment="1" applyBorder="1" applyFont="1">
      <alignment shrinkToFit="0" vertical="bottom" wrapText="1"/>
    </xf>
    <xf borderId="32" fillId="0" fontId="9" numFmtId="0" xfId="0" applyBorder="1" applyFont="1"/>
    <xf borderId="0" fillId="0" fontId="21" numFmtId="0" xfId="0" applyAlignment="1" applyFont="1">
      <alignment vertical="bottom"/>
    </xf>
    <xf borderId="19" fillId="0" fontId="22" numFmtId="0" xfId="0" applyAlignment="1" applyBorder="1" applyFont="1">
      <alignment shrinkToFit="0" vertical="bottom" wrapText="1"/>
    </xf>
    <xf borderId="19" fillId="0" fontId="9" numFmtId="0" xfId="0" applyBorder="1" applyFont="1"/>
    <xf borderId="22" fillId="5" fontId="4" numFmtId="0" xfId="0" applyAlignment="1" applyBorder="1" applyFont="1">
      <alignment horizontal="center"/>
    </xf>
    <xf borderId="22" fillId="5" fontId="4" numFmtId="0" xfId="0" applyAlignment="1" applyBorder="1" applyFont="1">
      <alignment horizontal="center" shrinkToFit="0" wrapText="1"/>
    </xf>
    <xf borderId="22" fillId="5" fontId="4" numFmtId="49" xfId="0" applyAlignment="1" applyBorder="1" applyFont="1" applyNumberFormat="1">
      <alignment horizontal="center" shrinkToFit="0" wrapText="1"/>
    </xf>
    <xf borderId="23" fillId="0" fontId="4" numFmtId="0" xfId="0" applyAlignment="1" applyBorder="1" applyFont="1">
      <alignment horizontal="center" vertical="bottom"/>
    </xf>
    <xf borderId="22" fillId="5" fontId="4" numFmtId="164" xfId="0" applyAlignment="1" applyBorder="1" applyFont="1" applyNumberFormat="1">
      <alignment horizontal="center" shrinkToFit="0" wrapText="1"/>
    </xf>
    <xf borderId="22" fillId="5" fontId="4" numFmtId="0" xfId="0" applyAlignment="1" applyBorder="1" applyFont="1">
      <alignment horizontal="center" vertical="bottom"/>
    </xf>
    <xf borderId="22" fillId="5" fontId="4" numFmtId="49" xfId="0" applyAlignment="1" applyBorder="1" applyFont="1" applyNumberFormat="1">
      <alignment horizontal="center" vertical="bottom"/>
    </xf>
    <xf borderId="22" fillId="5" fontId="4" numFmtId="164" xfId="0" applyAlignment="1" applyBorder="1" applyFont="1" applyNumberFormat="1">
      <alignment horizontal="center" shrinkToFit="0" vertical="bottom" wrapText="1"/>
    </xf>
    <xf borderId="22" fillId="0" fontId="4" numFmtId="0" xfId="0" applyAlignment="1" applyBorder="1" applyFont="1">
      <alignment horizontal="center"/>
    </xf>
    <xf borderId="22" fillId="0" fontId="4" numFmtId="49" xfId="0" applyAlignment="1" applyBorder="1" applyFont="1" applyNumberFormat="1">
      <alignment horizontal="center"/>
    </xf>
    <xf borderId="22" fillId="0" fontId="4" numFmtId="164" xfId="0" applyAlignment="1" applyBorder="1" applyFont="1" applyNumberFormat="1">
      <alignment horizontal="center" shrinkToFit="0" wrapText="1"/>
    </xf>
    <xf borderId="33" fillId="7" fontId="23" numFmtId="0" xfId="0" applyAlignment="1" applyBorder="1" applyFill="1" applyFont="1">
      <alignment horizontal="center" shrinkToFit="0" vertical="center" wrapText="0"/>
    </xf>
    <xf borderId="33" fillId="7" fontId="24" numFmtId="0" xfId="0" applyAlignment="1" applyBorder="1" applyFont="1">
      <alignment horizontal="center" shrinkToFit="0" vertical="center" wrapText="0"/>
    </xf>
    <xf borderId="33" fillId="7" fontId="24" numFmtId="169" xfId="0" applyAlignment="1" applyBorder="1" applyFont="1" applyNumberFormat="1">
      <alignment horizontal="center" shrinkToFit="0" vertical="center" wrapText="0"/>
    </xf>
    <xf borderId="33" fillId="7" fontId="25" numFmtId="0" xfId="0" applyAlignment="1" applyBorder="1" applyFont="1">
      <alignment horizontal="center" shrinkToFit="0" vertical="center" wrapText="0"/>
    </xf>
    <xf borderId="22" fillId="0" fontId="4" numFmtId="0" xfId="0" applyAlignment="1" applyBorder="1" applyFont="1">
      <alignment horizontal="center" vertical="bottom"/>
    </xf>
    <xf borderId="22" fillId="0" fontId="4" numFmtId="164" xfId="0" applyAlignment="1" applyBorder="1" applyFont="1" applyNumberFormat="1">
      <alignment horizontal="center" shrinkToFit="0" vertical="bottom" wrapText="1"/>
    </xf>
    <xf borderId="22" fillId="5" fontId="3" numFmtId="0" xfId="0" applyAlignment="1" applyBorder="1" applyFont="1">
      <alignment horizontal="center" shrinkToFit="0" vertical="center" wrapText="1"/>
    </xf>
    <xf borderId="22" fillId="5" fontId="3" numFmtId="0" xfId="0" applyAlignment="1" applyBorder="1" applyFont="1">
      <alignment horizontal="center" vertical="center"/>
    </xf>
    <xf borderId="22" fillId="5" fontId="3" numFmtId="49" xfId="0" applyAlignment="1" applyBorder="1" applyFont="1" applyNumberFormat="1">
      <alignment horizontal="center" vertical="center"/>
    </xf>
    <xf borderId="22" fillId="0" fontId="4" numFmtId="49" xfId="0" applyAlignment="1" applyBorder="1" applyFont="1" applyNumberFormat="1">
      <alignment horizontal="center" vertical="bottom"/>
    </xf>
    <xf borderId="23" fillId="5" fontId="4" numFmtId="0" xfId="0" applyAlignment="1" applyBorder="1" applyFont="1">
      <alignment horizontal="center" vertical="bottom"/>
    </xf>
    <xf borderId="0" fillId="5" fontId="26" numFmtId="165" xfId="0" applyAlignment="1" applyFont="1" applyNumberFormat="1">
      <alignment horizontal="center" shrinkToFit="0" vertical="bottom" wrapText="1"/>
    </xf>
    <xf borderId="22" fillId="5" fontId="27" numFmtId="0" xfId="0" applyAlignment="1" applyBorder="1" applyFont="1">
      <alignment horizontal="center" shrinkToFit="0" wrapText="1"/>
    </xf>
    <xf borderId="0" fillId="5" fontId="4" numFmtId="0" xfId="0" applyAlignment="1" applyFont="1">
      <alignment vertical="bottom"/>
    </xf>
    <xf borderId="22" fillId="0" fontId="4" numFmtId="0" xfId="0" applyAlignment="1" applyBorder="1" applyFont="1">
      <alignment vertical="bottom"/>
    </xf>
    <xf borderId="22" fillId="6" fontId="15" numFmtId="0" xfId="0" applyAlignment="1" applyBorder="1" applyFont="1">
      <alignment horizontal="center" vertical="center"/>
    </xf>
    <xf borderId="23" fillId="6" fontId="15" numFmtId="0" xfId="0" applyAlignment="1" applyBorder="1" applyFont="1">
      <alignment horizontal="center" vertical="center"/>
    </xf>
    <xf borderId="0" fillId="8" fontId="4" numFmtId="0" xfId="0" applyFill="1" applyFont="1"/>
    <xf borderId="22" fillId="9" fontId="4" numFmtId="0" xfId="0" applyAlignment="1" applyBorder="1" applyFill="1" applyFont="1">
      <alignment horizontal="center"/>
    </xf>
    <xf borderId="22" fillId="9" fontId="4" numFmtId="49" xfId="0" applyAlignment="1" applyBorder="1" applyFont="1" applyNumberFormat="1">
      <alignment horizontal="center"/>
    </xf>
    <xf borderId="23" fillId="9" fontId="4" numFmtId="0" xfId="0" applyAlignment="1" applyBorder="1" applyFont="1">
      <alignment horizontal="center" vertical="bottom"/>
    </xf>
    <xf borderId="22" fillId="9" fontId="4" numFmtId="164" xfId="0" applyAlignment="1" applyBorder="1" applyFont="1" applyNumberFormat="1">
      <alignment horizontal="center" shrinkToFit="0" wrapText="1"/>
    </xf>
    <xf borderId="22" fillId="9" fontId="27" numFmtId="0" xfId="0" applyAlignment="1" applyBorder="1" applyFont="1">
      <alignment horizontal="center" shrinkToFit="0" wrapText="1"/>
    </xf>
    <xf borderId="22" fillId="9" fontId="4" numFmtId="0" xfId="0" applyAlignment="1" applyBorder="1" applyFont="1">
      <alignment horizontal="center" shrinkToFit="0" wrapText="1"/>
    </xf>
    <xf borderId="22" fillId="10" fontId="4" numFmtId="0" xfId="0" applyAlignment="1" applyBorder="1" applyFill="1" applyFont="1">
      <alignment horizontal="center"/>
    </xf>
    <xf borderId="22" fillId="10" fontId="4" numFmtId="0" xfId="0" applyAlignment="1" applyBorder="1" applyFont="1">
      <alignment horizontal="center" shrinkToFit="0" wrapText="1"/>
    </xf>
    <xf borderId="22" fillId="10" fontId="4" numFmtId="49" xfId="0" applyAlignment="1" applyBorder="1" applyFont="1" applyNumberFormat="1">
      <alignment horizontal="center" shrinkToFit="0" wrapText="1"/>
    </xf>
    <xf borderId="23" fillId="10" fontId="4" numFmtId="0" xfId="0" applyAlignment="1" applyBorder="1" applyFont="1">
      <alignment horizontal="center" vertical="bottom"/>
    </xf>
    <xf borderId="22" fillId="10" fontId="4" numFmtId="164" xfId="0" applyAlignment="1" applyBorder="1" applyFont="1" applyNumberFormat="1">
      <alignment horizontal="center" shrinkToFit="0" wrapText="1"/>
    </xf>
    <xf borderId="0" fillId="11" fontId="4" numFmtId="0" xfId="0" applyAlignment="1" applyFill="1" applyFont="1">
      <alignment vertical="bottom"/>
    </xf>
    <xf borderId="22" fillId="12" fontId="4" numFmtId="0" xfId="0" applyAlignment="1" applyBorder="1" applyFill="1" applyFont="1">
      <alignment horizontal="center" vertical="bottom"/>
    </xf>
    <xf borderId="22" fillId="12" fontId="4" numFmtId="49" xfId="0" applyAlignment="1" applyBorder="1" applyFont="1" applyNumberFormat="1">
      <alignment horizontal="center" vertical="bottom"/>
    </xf>
    <xf borderId="23" fillId="12" fontId="4" numFmtId="0" xfId="0" applyAlignment="1" applyBorder="1" applyFont="1">
      <alignment horizontal="center" vertical="bottom"/>
    </xf>
    <xf borderId="22" fillId="12" fontId="4" numFmtId="164" xfId="0" applyAlignment="1" applyBorder="1" applyFont="1" applyNumberFormat="1">
      <alignment horizontal="center" shrinkToFit="0" vertical="bottom" wrapText="1"/>
    </xf>
    <xf borderId="0" fillId="0" fontId="4" numFmtId="0" xfId="0" applyAlignment="1" applyFont="1">
      <alignment shrinkToFit="0" wrapText="1"/>
    </xf>
    <xf borderId="22" fillId="10" fontId="4" numFmtId="0" xfId="0" applyAlignment="1" applyBorder="1" applyFont="1">
      <alignment horizontal="center" vertical="bottom"/>
    </xf>
    <xf borderId="22" fillId="10" fontId="4" numFmtId="49" xfId="0" applyAlignment="1" applyBorder="1" applyFont="1" applyNumberFormat="1">
      <alignment horizontal="center" vertical="bottom"/>
    </xf>
    <xf borderId="22" fillId="10" fontId="4" numFmtId="164" xfId="0" applyAlignment="1" applyBorder="1" applyFont="1" applyNumberFormat="1">
      <alignment horizontal="center" shrinkToFit="0" vertical="bottom" wrapText="1"/>
    </xf>
    <xf borderId="22" fillId="13" fontId="4" numFmtId="0" xfId="0" applyAlignment="1" applyBorder="1" applyFill="1" applyFont="1">
      <alignment horizontal="center" vertical="bottom"/>
    </xf>
    <xf borderId="22" fillId="13" fontId="4" numFmtId="49" xfId="0" applyAlignment="1" applyBorder="1" applyFont="1" applyNumberFormat="1">
      <alignment horizontal="center" vertical="bottom"/>
    </xf>
    <xf borderId="23" fillId="13" fontId="4" numFmtId="0" xfId="0" applyAlignment="1" applyBorder="1" applyFont="1">
      <alignment horizontal="center" vertical="bottom"/>
    </xf>
    <xf borderId="22" fillId="13" fontId="4" numFmtId="164" xfId="0" applyAlignment="1" applyBorder="1" applyFont="1" applyNumberFormat="1">
      <alignment horizontal="center" shrinkToFit="0" vertical="bottom" wrapText="1"/>
    </xf>
    <xf borderId="0" fillId="14" fontId="4" numFmtId="0" xfId="0" applyFill="1" applyFont="1"/>
    <xf borderId="22" fillId="15" fontId="4" numFmtId="0" xfId="0" applyAlignment="1" applyBorder="1" applyFill="1" applyFont="1">
      <alignment horizontal="center" vertical="bottom"/>
    </xf>
    <xf borderId="22" fillId="15" fontId="4" numFmtId="49" xfId="0" applyAlignment="1" applyBorder="1" applyFont="1" applyNumberFormat="1">
      <alignment horizontal="center" vertical="bottom"/>
    </xf>
    <xf borderId="23" fillId="15" fontId="4" numFmtId="0" xfId="0" applyAlignment="1" applyBorder="1" applyFont="1">
      <alignment horizontal="center" vertical="bottom"/>
    </xf>
    <xf borderId="22" fillId="15" fontId="4" numFmtId="164" xfId="0" applyAlignment="1" applyBorder="1" applyFont="1" applyNumberFormat="1">
      <alignment horizontal="center" shrinkToFit="0" vertical="bottom" wrapText="1"/>
    </xf>
    <xf borderId="22" fillId="0" fontId="4" numFmtId="0" xfId="0" applyAlignment="1" applyBorder="1" applyFont="1">
      <alignment horizontal="center" vertical="center"/>
    </xf>
    <xf borderId="22" fillId="16" fontId="3" numFmtId="0" xfId="0" applyAlignment="1" applyBorder="1" applyFill="1" applyFont="1">
      <alignment horizontal="center" vertical="center"/>
    </xf>
    <xf borderId="22" fillId="16" fontId="3" numFmtId="49" xfId="0" applyAlignment="1" applyBorder="1" applyFont="1" applyNumberFormat="1">
      <alignment horizontal="center" vertical="center"/>
    </xf>
    <xf borderId="23" fillId="16" fontId="4" numFmtId="0" xfId="0" applyAlignment="1" applyBorder="1" applyFont="1">
      <alignment horizontal="center" vertical="bottom"/>
    </xf>
    <xf borderId="22" fillId="16" fontId="4" numFmtId="164" xfId="0" applyAlignment="1" applyBorder="1" applyFont="1" applyNumberFormat="1">
      <alignment horizontal="center" shrinkToFit="0" vertical="center" wrapText="1"/>
    </xf>
    <xf borderId="34" fillId="5" fontId="4" numFmtId="164" xfId="0" applyAlignment="1" applyBorder="1" applyFont="1" applyNumberFormat="1">
      <alignment horizontal="center" shrinkToFit="0" vertical="center" wrapText="1"/>
    </xf>
    <xf borderId="35" fillId="0" fontId="9" numFmtId="0" xfId="0" applyBorder="1" applyFont="1"/>
    <xf borderId="0" fillId="11" fontId="4" numFmtId="0" xfId="0" applyFont="1"/>
    <xf borderId="22" fillId="15" fontId="4" numFmtId="0" xfId="0" applyAlignment="1" applyBorder="1" applyFont="1">
      <alignment horizontal="center" vertical="center"/>
    </xf>
    <xf borderId="22" fillId="15" fontId="4" numFmtId="164" xfId="0" applyAlignment="1" applyBorder="1" applyFont="1" applyNumberFormat="1">
      <alignment horizontal="center" shrinkToFit="0" vertical="center" wrapText="1"/>
    </xf>
    <xf borderId="22" fillId="17" fontId="4" numFmtId="0" xfId="0" applyAlignment="1" applyBorder="1" applyFill="1" applyFont="1">
      <alignment horizontal="center" vertical="center"/>
    </xf>
    <xf borderId="23" fillId="17" fontId="4" numFmtId="0" xfId="0" applyAlignment="1" applyBorder="1" applyFont="1">
      <alignment horizontal="center" vertical="bottom"/>
    </xf>
    <xf borderId="22" fillId="17" fontId="4" numFmtId="164" xfId="0" applyAlignment="1" applyBorder="1" applyFont="1" applyNumberFormat="1">
      <alignment horizontal="center" shrinkToFit="0" vertical="center" wrapText="1"/>
    </xf>
    <xf borderId="22" fillId="0" fontId="4" numFmtId="164" xfId="0" applyAlignment="1" applyBorder="1" applyFont="1" applyNumberFormat="1">
      <alignment horizontal="center" shrinkToFit="0" vertical="center" wrapText="1"/>
    </xf>
    <xf borderId="22" fillId="17" fontId="4" numFmtId="0" xfId="0" applyAlignment="1" applyBorder="1" applyFont="1">
      <alignment horizontal="center" vertical="bottom"/>
    </xf>
    <xf borderId="22" fillId="17" fontId="4" numFmtId="164" xfId="0" applyAlignment="1" applyBorder="1" applyFont="1" applyNumberFormat="1">
      <alignment horizontal="center" shrinkToFit="0" vertical="bottom" wrapText="1"/>
    </xf>
    <xf borderId="0" fillId="6" fontId="17" numFmtId="164" xfId="0" applyAlignment="1" applyFont="1" applyNumberFormat="1">
      <alignment horizontal="center" shrinkToFit="0" vertical="bottom" wrapText="1"/>
    </xf>
    <xf borderId="22" fillId="0" fontId="4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8098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16.38"/>
    <col customWidth="1" min="3" max="5" width="12.63"/>
    <col customWidth="1" min="6" max="6" width="13.0"/>
    <col customWidth="1" min="10" max="10" width="13.38"/>
    <col customWidth="1" min="11" max="12" width="15.63"/>
  </cols>
  <sheetData>
    <row r="1" ht="42.75" customHeight="1">
      <c r="B1" s="1" t="s">
        <v>0</v>
      </c>
    </row>
    <row r="2" ht="28.5" customHeight="1"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2" t="s">
        <v>14</v>
      </c>
      <c r="P2" s="2" t="s">
        <v>15</v>
      </c>
    </row>
    <row r="3" ht="28.5" customHeight="1">
      <c r="B3" s="5" t="s">
        <v>16</v>
      </c>
      <c r="C3" s="6" t="s">
        <v>17</v>
      </c>
      <c r="D3" s="7">
        <v>40260.0</v>
      </c>
      <c r="E3" s="8">
        <v>46036.0</v>
      </c>
      <c r="F3" s="9">
        <v>900.0</v>
      </c>
      <c r="G3" s="6" t="s">
        <v>18</v>
      </c>
      <c r="H3" s="10" t="b">
        <v>1</v>
      </c>
      <c r="I3" s="10" t="b">
        <v>1</v>
      </c>
      <c r="J3" s="6" t="s">
        <v>18</v>
      </c>
      <c r="K3" s="6"/>
      <c r="L3" s="7"/>
      <c r="M3" s="6" t="s">
        <v>18</v>
      </c>
      <c r="N3" s="9">
        <v>900.0</v>
      </c>
      <c r="O3" s="6" t="s">
        <v>18</v>
      </c>
      <c r="P3" s="11" t="s">
        <v>19</v>
      </c>
      <c r="Q3" s="12"/>
    </row>
    <row r="4" ht="28.5" customHeight="1">
      <c r="B4" s="13" t="s">
        <v>20</v>
      </c>
      <c r="C4" s="14" t="s">
        <v>21</v>
      </c>
      <c r="D4" s="15">
        <v>64200.0</v>
      </c>
      <c r="E4" s="16">
        <v>46038.0</v>
      </c>
      <c r="F4" s="17">
        <v>700.0</v>
      </c>
      <c r="G4" s="14" t="s">
        <v>18</v>
      </c>
      <c r="H4" s="18" t="b">
        <v>1</v>
      </c>
      <c r="I4" s="18" t="b">
        <v>1</v>
      </c>
      <c r="J4" s="14" t="s">
        <v>18</v>
      </c>
      <c r="K4" s="14"/>
      <c r="L4" s="15"/>
      <c r="M4" s="14" t="s">
        <v>18</v>
      </c>
      <c r="N4" s="17">
        <v>700.0</v>
      </c>
      <c r="O4" s="14" t="s">
        <v>18</v>
      </c>
      <c r="P4" s="19" t="s">
        <v>19</v>
      </c>
      <c r="Q4" s="12"/>
    </row>
    <row r="5" ht="28.5" customHeight="1">
      <c r="B5" s="20" t="s">
        <v>22</v>
      </c>
      <c r="C5" s="21" t="s">
        <v>23</v>
      </c>
      <c r="D5" s="22">
        <v>64200.0</v>
      </c>
      <c r="E5" s="23">
        <v>46038.0</v>
      </c>
      <c r="F5" s="24">
        <v>700.0</v>
      </c>
      <c r="G5" s="21" t="s">
        <v>18</v>
      </c>
      <c r="H5" s="25" t="b">
        <v>1</v>
      </c>
      <c r="I5" s="25" t="b">
        <v>1</v>
      </c>
      <c r="J5" s="21" t="s">
        <v>18</v>
      </c>
      <c r="K5" s="21"/>
      <c r="L5" s="22"/>
      <c r="M5" s="21" t="s">
        <v>18</v>
      </c>
      <c r="N5" s="24">
        <v>700.0</v>
      </c>
      <c r="O5" s="21" t="s">
        <v>18</v>
      </c>
      <c r="P5" s="26" t="s">
        <v>19</v>
      </c>
      <c r="Q5" s="12"/>
    </row>
    <row r="6" ht="28.5" customHeight="1">
      <c r="B6" s="13" t="s">
        <v>24</v>
      </c>
      <c r="C6" s="14" t="s">
        <v>25</v>
      </c>
      <c r="D6" s="15" t="s">
        <v>26</v>
      </c>
      <c r="E6" s="16">
        <v>46041.0</v>
      </c>
      <c r="F6" s="17">
        <v>1755.0</v>
      </c>
      <c r="G6" s="14" t="s">
        <v>18</v>
      </c>
      <c r="H6" s="18" t="b">
        <v>1</v>
      </c>
      <c r="I6" s="18" t="b">
        <v>1</v>
      </c>
      <c r="J6" s="14" t="s">
        <v>18</v>
      </c>
      <c r="K6" s="14"/>
      <c r="L6" s="15"/>
      <c r="M6" s="14" t="s">
        <v>18</v>
      </c>
      <c r="N6" s="17">
        <v>1755.0</v>
      </c>
      <c r="O6" s="14" t="s">
        <v>18</v>
      </c>
      <c r="P6" s="19" t="s">
        <v>27</v>
      </c>
      <c r="Q6" s="12"/>
    </row>
    <row r="7" ht="28.5" customHeight="1">
      <c r="B7" s="20" t="s">
        <v>28</v>
      </c>
      <c r="C7" s="21" t="s">
        <v>29</v>
      </c>
      <c r="D7" s="22" t="s">
        <v>30</v>
      </c>
      <c r="E7" s="23">
        <v>46042.0</v>
      </c>
      <c r="F7" s="24">
        <v>1050.0</v>
      </c>
      <c r="G7" s="21" t="s">
        <v>18</v>
      </c>
      <c r="H7" s="25" t="b">
        <v>1</v>
      </c>
      <c r="I7" s="25" t="b">
        <v>1</v>
      </c>
      <c r="J7" s="21" t="s">
        <v>18</v>
      </c>
      <c r="K7" s="21"/>
      <c r="L7" s="22"/>
      <c r="M7" s="21" t="s">
        <v>18</v>
      </c>
      <c r="N7" s="24">
        <v>1050.0</v>
      </c>
      <c r="O7" s="21" t="s">
        <v>18</v>
      </c>
      <c r="P7" s="26" t="s">
        <v>27</v>
      </c>
      <c r="Q7" s="12"/>
    </row>
    <row r="8" ht="28.5" customHeight="1">
      <c r="B8" s="13" t="s">
        <v>31</v>
      </c>
      <c r="C8" s="14" t="s">
        <v>32</v>
      </c>
      <c r="D8" s="15" t="s">
        <v>33</v>
      </c>
      <c r="E8" s="16">
        <v>46050.0</v>
      </c>
      <c r="F8" s="17">
        <v>750.0</v>
      </c>
      <c r="G8" s="14" t="s">
        <v>18</v>
      </c>
      <c r="H8" s="18" t="b">
        <v>1</v>
      </c>
      <c r="I8" s="18" t="b">
        <v>1</v>
      </c>
      <c r="J8" s="14" t="s">
        <v>18</v>
      </c>
      <c r="K8" s="14"/>
      <c r="L8" s="15"/>
      <c r="M8" s="14" t="s">
        <v>18</v>
      </c>
      <c r="N8" s="17">
        <v>750.0</v>
      </c>
      <c r="O8" s="14" t="s">
        <v>18</v>
      </c>
      <c r="P8" s="19" t="s">
        <v>27</v>
      </c>
      <c r="Q8" s="12"/>
    </row>
    <row r="9" ht="28.5" hidden="1" customHeight="1">
      <c r="B9" s="20"/>
      <c r="C9" s="21"/>
      <c r="D9" s="22"/>
      <c r="E9" s="23"/>
      <c r="F9" s="27"/>
      <c r="G9" s="21"/>
      <c r="H9" s="25" t="b">
        <v>0</v>
      </c>
      <c r="I9" s="25" t="b">
        <v>0</v>
      </c>
      <c r="J9" s="21"/>
      <c r="K9" s="21"/>
      <c r="L9" s="22"/>
      <c r="M9" s="21"/>
      <c r="N9" s="28"/>
      <c r="O9" s="21"/>
      <c r="P9" s="26"/>
      <c r="Q9" s="12"/>
    </row>
    <row r="10" ht="28.5" customHeight="1">
      <c r="B10" s="29" t="s">
        <v>34</v>
      </c>
      <c r="C10" s="14" t="s">
        <v>35</v>
      </c>
      <c r="D10" s="15" t="s">
        <v>36</v>
      </c>
      <c r="E10" s="16">
        <v>46051.0</v>
      </c>
      <c r="F10" s="17">
        <v>1050.0</v>
      </c>
      <c r="G10" s="14" t="s">
        <v>18</v>
      </c>
      <c r="H10" s="18" t="b">
        <v>1</v>
      </c>
      <c r="I10" s="18" t="b">
        <v>1</v>
      </c>
      <c r="J10" s="14" t="s">
        <v>18</v>
      </c>
      <c r="K10" s="14"/>
      <c r="L10" s="15"/>
      <c r="M10" s="14"/>
      <c r="N10" s="30"/>
      <c r="O10" s="14"/>
      <c r="P10" s="19"/>
      <c r="Q10" s="12"/>
    </row>
    <row r="11" ht="28.5" customHeight="1">
      <c r="B11" s="31" t="s">
        <v>37</v>
      </c>
      <c r="C11" s="32" t="s">
        <v>38</v>
      </c>
      <c r="D11" s="33" t="s">
        <v>39</v>
      </c>
      <c r="E11" s="34">
        <v>46056.0</v>
      </c>
      <c r="F11" s="35">
        <v>5790.0</v>
      </c>
      <c r="G11" s="21" t="s">
        <v>40</v>
      </c>
      <c r="H11" s="25" t="b">
        <v>0</v>
      </c>
      <c r="I11" s="25" t="b">
        <v>0</v>
      </c>
      <c r="J11" s="21"/>
      <c r="K11" s="21"/>
      <c r="L11" s="22"/>
      <c r="M11" s="21"/>
      <c r="N11" s="28"/>
      <c r="O11" s="21"/>
      <c r="P11" s="26"/>
      <c r="Q11" s="12"/>
    </row>
    <row r="12" ht="28.5" customHeight="1">
      <c r="B12" s="36" t="s">
        <v>41</v>
      </c>
      <c r="C12" s="37" t="s">
        <v>42</v>
      </c>
      <c r="D12" s="38" t="s">
        <v>43</v>
      </c>
      <c r="E12" s="39">
        <v>46062.0</v>
      </c>
      <c r="F12" s="40">
        <v>2600.0</v>
      </c>
      <c r="G12" s="41" t="s">
        <v>18</v>
      </c>
      <c r="H12" s="18" t="b">
        <v>1</v>
      </c>
      <c r="I12" s="18" t="b">
        <v>1</v>
      </c>
      <c r="J12" s="14" t="s">
        <v>44</v>
      </c>
      <c r="K12" s="14"/>
      <c r="L12" s="15"/>
      <c r="M12" s="14"/>
      <c r="N12" s="30"/>
      <c r="O12" s="14"/>
      <c r="P12" s="19"/>
    </row>
    <row r="13" ht="28.5" customHeight="1">
      <c r="B13" s="31" t="s">
        <v>45</v>
      </c>
      <c r="C13" s="32" t="s">
        <v>46</v>
      </c>
      <c r="D13" s="33" t="s">
        <v>30</v>
      </c>
      <c r="E13" s="34">
        <v>46062.0</v>
      </c>
      <c r="F13" s="35">
        <v>900.0</v>
      </c>
      <c r="G13" s="42" t="s">
        <v>18</v>
      </c>
      <c r="H13" s="25" t="b">
        <v>1</v>
      </c>
      <c r="I13" s="25" t="b">
        <v>1</v>
      </c>
      <c r="J13" s="21" t="s">
        <v>18</v>
      </c>
      <c r="K13" s="21"/>
      <c r="L13" s="22"/>
      <c r="M13" s="21"/>
      <c r="N13" s="28"/>
      <c r="O13" s="21"/>
      <c r="P13" s="26"/>
    </row>
    <row r="14" ht="28.5" customHeight="1">
      <c r="B14" s="36" t="s">
        <v>47</v>
      </c>
      <c r="C14" s="37" t="s">
        <v>48</v>
      </c>
      <c r="D14" s="38" t="s">
        <v>49</v>
      </c>
      <c r="E14" s="43">
        <v>46069.0</v>
      </c>
      <c r="F14" s="40">
        <v>1410.0</v>
      </c>
      <c r="G14" s="41" t="s">
        <v>18</v>
      </c>
      <c r="H14" s="18" t="b">
        <v>1</v>
      </c>
      <c r="I14" s="18" t="b">
        <v>1</v>
      </c>
      <c r="J14" s="14" t="s">
        <v>44</v>
      </c>
      <c r="K14" s="14"/>
      <c r="L14" s="15"/>
      <c r="M14" s="14"/>
      <c r="N14" s="30"/>
      <c r="O14" s="14"/>
      <c r="P14" s="19"/>
    </row>
    <row r="15" ht="28.5" customHeight="1">
      <c r="B15" s="31" t="s">
        <v>50</v>
      </c>
      <c r="C15" s="32" t="s">
        <v>51</v>
      </c>
      <c r="D15" s="33" t="s">
        <v>52</v>
      </c>
      <c r="E15" s="34">
        <v>46065.0</v>
      </c>
      <c r="F15" s="35">
        <v>1220.0</v>
      </c>
      <c r="G15" s="44" t="s">
        <v>40</v>
      </c>
      <c r="H15" s="25" t="b">
        <v>0</v>
      </c>
      <c r="I15" s="25" t="b">
        <v>0</v>
      </c>
      <c r="J15" s="21"/>
      <c r="K15" s="21"/>
      <c r="L15" s="22"/>
      <c r="M15" s="21"/>
      <c r="N15" s="28"/>
      <c r="O15" s="21"/>
      <c r="P15" s="26"/>
    </row>
    <row r="16" ht="28.5" customHeight="1">
      <c r="B16" s="36" t="s">
        <v>53</v>
      </c>
      <c r="C16" s="37" t="s">
        <v>54</v>
      </c>
      <c r="D16" s="38" t="s">
        <v>55</v>
      </c>
      <c r="E16" s="39">
        <v>46069.0</v>
      </c>
      <c r="F16" s="40">
        <v>900.0</v>
      </c>
      <c r="G16" s="41" t="s">
        <v>18</v>
      </c>
      <c r="H16" s="18" t="b">
        <v>1</v>
      </c>
      <c r="I16" s="18" t="b">
        <v>1</v>
      </c>
      <c r="J16" s="14" t="s">
        <v>18</v>
      </c>
      <c r="K16" s="14"/>
      <c r="L16" s="15"/>
      <c r="M16" s="14"/>
      <c r="N16" s="30"/>
      <c r="O16" s="14"/>
      <c r="P16" s="19"/>
    </row>
    <row r="17" ht="28.5" customHeight="1">
      <c r="B17" s="31" t="s">
        <v>56</v>
      </c>
      <c r="C17" s="32" t="s">
        <v>57</v>
      </c>
      <c r="D17" s="33" t="s">
        <v>58</v>
      </c>
      <c r="E17" s="34">
        <v>46070.0</v>
      </c>
      <c r="F17" s="35">
        <v>1330.0</v>
      </c>
      <c r="G17" s="42" t="s">
        <v>18</v>
      </c>
      <c r="H17" s="25" t="b">
        <v>1</v>
      </c>
      <c r="I17" s="25" t="b">
        <v>1</v>
      </c>
      <c r="J17" s="21" t="s">
        <v>44</v>
      </c>
      <c r="K17" s="21"/>
      <c r="L17" s="22"/>
      <c r="M17" s="21"/>
      <c r="N17" s="28"/>
      <c r="O17" s="21"/>
      <c r="P17" s="26"/>
    </row>
    <row r="18" ht="28.5" customHeight="1">
      <c r="B18" s="36" t="s">
        <v>59</v>
      </c>
      <c r="C18" s="37" t="s">
        <v>60</v>
      </c>
      <c r="D18" s="38" t="s">
        <v>61</v>
      </c>
      <c r="E18" s="39">
        <v>46071.0</v>
      </c>
      <c r="F18" s="40">
        <v>1680.0</v>
      </c>
      <c r="G18" s="41" t="s">
        <v>18</v>
      </c>
      <c r="H18" s="18" t="b">
        <v>1</v>
      </c>
      <c r="I18" s="18" t="b">
        <v>1</v>
      </c>
      <c r="J18" s="14" t="s">
        <v>18</v>
      </c>
      <c r="K18" s="14"/>
      <c r="L18" s="15"/>
      <c r="M18" s="14"/>
      <c r="N18" s="30"/>
      <c r="O18" s="14"/>
      <c r="P18" s="19"/>
    </row>
    <row r="19" ht="28.5" customHeight="1">
      <c r="B19" s="31" t="s">
        <v>62</v>
      </c>
      <c r="C19" s="32" t="s">
        <v>63</v>
      </c>
      <c r="D19" s="33" t="s">
        <v>64</v>
      </c>
      <c r="E19" s="34">
        <v>46071.0</v>
      </c>
      <c r="F19" s="35">
        <v>850.0</v>
      </c>
      <c r="G19" s="42" t="s">
        <v>18</v>
      </c>
      <c r="H19" s="25" t="b">
        <v>1</v>
      </c>
      <c r="I19" s="25" t="b">
        <v>1</v>
      </c>
      <c r="J19" s="21" t="s">
        <v>18</v>
      </c>
      <c r="K19" s="21"/>
      <c r="L19" s="22"/>
      <c r="M19" s="21"/>
      <c r="N19" s="28"/>
      <c r="O19" s="21"/>
      <c r="P19" s="26"/>
    </row>
    <row r="20" ht="28.5" customHeight="1">
      <c r="B20" s="36" t="s">
        <v>65</v>
      </c>
      <c r="C20" s="37" t="s">
        <v>66</v>
      </c>
      <c r="D20" s="38" t="s">
        <v>67</v>
      </c>
      <c r="E20" s="39">
        <v>46072.0</v>
      </c>
      <c r="F20" s="40">
        <v>700.0</v>
      </c>
      <c r="G20" s="41" t="s">
        <v>18</v>
      </c>
      <c r="H20" s="18" t="b">
        <v>1</v>
      </c>
      <c r="I20" s="18" t="b">
        <v>1</v>
      </c>
      <c r="J20" s="14" t="s">
        <v>18</v>
      </c>
      <c r="K20" s="14"/>
      <c r="L20" s="15"/>
      <c r="M20" s="14"/>
      <c r="N20" s="30"/>
      <c r="O20" s="14"/>
      <c r="P20" s="19"/>
    </row>
    <row r="21" ht="28.5" customHeight="1">
      <c r="B21" s="31" t="s">
        <v>34</v>
      </c>
      <c r="C21" s="32" t="s">
        <v>68</v>
      </c>
      <c r="D21" s="33" t="s">
        <v>36</v>
      </c>
      <c r="E21" s="34">
        <v>46073.0</v>
      </c>
      <c r="F21" s="35">
        <v>1050.0</v>
      </c>
      <c r="G21" s="42" t="s">
        <v>18</v>
      </c>
      <c r="H21" s="25" t="b">
        <v>1</v>
      </c>
      <c r="I21" s="25" t="b">
        <v>1</v>
      </c>
      <c r="J21" s="21" t="s">
        <v>18</v>
      </c>
      <c r="K21" s="21"/>
      <c r="L21" s="22"/>
      <c r="M21" s="21"/>
      <c r="N21" s="28"/>
      <c r="O21" s="21"/>
      <c r="P21" s="26"/>
    </row>
    <row r="22" ht="28.5" customHeight="1">
      <c r="B22" s="36" t="s">
        <v>69</v>
      </c>
      <c r="C22" s="37" t="s">
        <v>70</v>
      </c>
      <c r="D22" s="38" t="s">
        <v>71</v>
      </c>
      <c r="E22" s="39">
        <v>46076.0</v>
      </c>
      <c r="F22" s="40">
        <v>700.0</v>
      </c>
      <c r="G22" s="41" t="s">
        <v>18</v>
      </c>
      <c r="H22" s="18" t="b">
        <v>1</v>
      </c>
      <c r="I22" s="18" t="b">
        <v>1</v>
      </c>
      <c r="J22" s="14" t="s">
        <v>18</v>
      </c>
      <c r="K22" s="14"/>
      <c r="L22" s="15"/>
      <c r="M22" s="14"/>
      <c r="N22" s="30"/>
      <c r="O22" s="14"/>
      <c r="P22" s="19"/>
    </row>
    <row r="23" ht="28.5" customHeight="1">
      <c r="B23" s="31" t="s">
        <v>72</v>
      </c>
      <c r="C23" s="32" t="s">
        <v>73</v>
      </c>
      <c r="D23" s="33" t="s">
        <v>30</v>
      </c>
      <c r="E23" s="34">
        <v>46076.0</v>
      </c>
      <c r="F23" s="35">
        <v>1200.0</v>
      </c>
      <c r="G23" s="42" t="s">
        <v>18</v>
      </c>
      <c r="H23" s="25" t="b">
        <v>1</v>
      </c>
      <c r="I23" s="25" t="b">
        <v>1</v>
      </c>
      <c r="J23" s="21" t="s">
        <v>18</v>
      </c>
      <c r="K23" s="21"/>
      <c r="L23" s="22"/>
      <c r="M23" s="21"/>
      <c r="N23" s="28"/>
      <c r="O23" s="21"/>
      <c r="P23" s="26"/>
    </row>
    <row r="24" ht="28.5" customHeight="1">
      <c r="B24" s="36" t="s">
        <v>74</v>
      </c>
      <c r="C24" s="37" t="s">
        <v>75</v>
      </c>
      <c r="D24" s="38" t="s">
        <v>76</v>
      </c>
      <c r="E24" s="39">
        <v>46069.0</v>
      </c>
      <c r="F24" s="40">
        <v>1050.0</v>
      </c>
      <c r="G24" s="41" t="s">
        <v>18</v>
      </c>
      <c r="H24" s="18" t="b">
        <v>1</v>
      </c>
      <c r="I24" s="18" t="b">
        <v>1</v>
      </c>
      <c r="J24" s="14" t="s">
        <v>18</v>
      </c>
      <c r="K24" s="14"/>
      <c r="L24" s="15"/>
      <c r="M24" s="14"/>
      <c r="N24" s="30"/>
      <c r="O24" s="14"/>
      <c r="P24" s="19"/>
    </row>
    <row r="25" ht="28.5" customHeight="1">
      <c r="B25" s="31" t="s">
        <v>77</v>
      </c>
      <c r="C25" s="32" t="s">
        <v>78</v>
      </c>
      <c r="D25" s="33" t="s">
        <v>79</v>
      </c>
      <c r="E25" s="34">
        <v>46077.0</v>
      </c>
      <c r="F25" s="35">
        <v>850.0</v>
      </c>
      <c r="G25" s="42" t="s">
        <v>18</v>
      </c>
      <c r="H25" s="25" t="b">
        <v>1</v>
      </c>
      <c r="I25" s="25" t="b">
        <v>1</v>
      </c>
      <c r="J25" s="21" t="s">
        <v>18</v>
      </c>
      <c r="K25" s="21"/>
      <c r="L25" s="22"/>
      <c r="M25" s="21"/>
      <c r="N25" s="28"/>
      <c r="O25" s="21"/>
      <c r="P25" s="26"/>
    </row>
    <row r="26" ht="43.5" customHeight="1">
      <c r="B26" s="36" t="s">
        <v>80</v>
      </c>
      <c r="C26" s="37" t="s">
        <v>81</v>
      </c>
      <c r="D26" s="38" t="s">
        <v>49</v>
      </c>
      <c r="E26" s="39">
        <v>46078.0</v>
      </c>
      <c r="F26" s="40">
        <v>1580.0</v>
      </c>
      <c r="G26" s="41" t="s">
        <v>18</v>
      </c>
      <c r="H26" s="18" t="b">
        <v>1</v>
      </c>
      <c r="I26" s="18" t="b">
        <v>1</v>
      </c>
      <c r="J26" s="14" t="s">
        <v>18</v>
      </c>
      <c r="K26" s="14"/>
      <c r="L26" s="15"/>
      <c r="M26" s="14"/>
      <c r="N26" s="30"/>
      <c r="O26" s="14"/>
      <c r="P26" s="19"/>
    </row>
    <row r="27" ht="42.75" customHeight="1">
      <c r="B27" s="31" t="s">
        <v>82</v>
      </c>
      <c r="C27" s="32" t="s">
        <v>83</v>
      </c>
      <c r="D27" s="33" t="s">
        <v>84</v>
      </c>
      <c r="E27" s="34">
        <v>46083.0</v>
      </c>
      <c r="F27" s="35">
        <v>1950.0</v>
      </c>
      <c r="G27" s="44" t="s">
        <v>40</v>
      </c>
      <c r="H27" s="25" t="b">
        <v>0</v>
      </c>
      <c r="I27" s="25" t="b">
        <v>0</v>
      </c>
      <c r="J27" s="21"/>
      <c r="K27" s="21"/>
      <c r="L27" s="22"/>
      <c r="M27" s="21"/>
      <c r="N27" s="28"/>
      <c r="O27" s="21"/>
      <c r="P27" s="26"/>
    </row>
    <row r="28" ht="28.5" customHeight="1">
      <c r="B28" s="36" t="s">
        <v>85</v>
      </c>
      <c r="C28" s="45" t="s">
        <v>86</v>
      </c>
      <c r="D28" s="38" t="s">
        <v>87</v>
      </c>
      <c r="E28" s="39">
        <v>46055.0</v>
      </c>
      <c r="F28" s="40">
        <v>1000.0</v>
      </c>
      <c r="G28" s="41" t="s">
        <v>18</v>
      </c>
      <c r="H28" s="18" t="b">
        <v>1</v>
      </c>
      <c r="I28" s="18" t="b">
        <v>1</v>
      </c>
      <c r="J28" s="14" t="s">
        <v>18</v>
      </c>
      <c r="K28" s="14"/>
      <c r="L28" s="15"/>
      <c r="M28" s="14"/>
      <c r="N28" s="30"/>
      <c r="O28" s="14"/>
      <c r="P28" s="19"/>
    </row>
    <row r="29" ht="28.5" customHeight="1">
      <c r="B29" s="20" t="s">
        <v>88</v>
      </c>
      <c r="C29" s="21" t="s">
        <v>89</v>
      </c>
      <c r="D29" s="46" t="s">
        <v>30</v>
      </c>
      <c r="E29" s="47">
        <v>46063.0</v>
      </c>
      <c r="F29" s="35">
        <v>950.0</v>
      </c>
      <c r="G29" s="42" t="s">
        <v>18</v>
      </c>
      <c r="H29" s="25" t="b">
        <v>1</v>
      </c>
      <c r="I29" s="25" t="b">
        <v>1</v>
      </c>
      <c r="J29" s="21" t="s">
        <v>18</v>
      </c>
      <c r="K29" s="21"/>
      <c r="L29" s="22"/>
      <c r="M29" s="21"/>
      <c r="N29" s="28"/>
      <c r="O29" s="21"/>
      <c r="P29" s="26"/>
    </row>
    <row r="30" ht="28.5" customHeight="1">
      <c r="B30" s="48" t="s">
        <v>90</v>
      </c>
      <c r="C30" s="49" t="s">
        <v>91</v>
      </c>
      <c r="D30" s="50" t="s">
        <v>92</v>
      </c>
      <c r="E30" s="43">
        <v>46056.0</v>
      </c>
      <c r="F30" s="40">
        <v>1280.0</v>
      </c>
      <c r="G30" s="41" t="s">
        <v>18</v>
      </c>
      <c r="H30" s="18" t="b">
        <v>1</v>
      </c>
      <c r="I30" s="18" t="b">
        <v>1</v>
      </c>
      <c r="J30" s="14" t="s">
        <v>18</v>
      </c>
      <c r="K30" s="14"/>
      <c r="L30" s="15"/>
      <c r="M30" s="14"/>
      <c r="N30" s="30"/>
      <c r="O30" s="14"/>
      <c r="P30" s="19"/>
    </row>
    <row r="31" ht="28.5" customHeight="1">
      <c r="B31" s="20" t="s">
        <v>93</v>
      </c>
      <c r="C31" s="21" t="s">
        <v>94</v>
      </c>
      <c r="D31" s="46" t="s">
        <v>95</v>
      </c>
      <c r="E31" s="47">
        <v>46059.0</v>
      </c>
      <c r="F31" s="35">
        <v>950.0</v>
      </c>
      <c r="G31" s="42" t="s">
        <v>18</v>
      </c>
      <c r="H31" s="25" t="b">
        <v>1</v>
      </c>
      <c r="I31" s="25" t="b">
        <v>1</v>
      </c>
      <c r="J31" s="21" t="s">
        <v>18</v>
      </c>
      <c r="K31" s="21"/>
      <c r="L31" s="22"/>
      <c r="M31" s="21"/>
      <c r="N31" s="28"/>
      <c r="O31" s="21"/>
      <c r="P31" s="26"/>
    </row>
    <row r="32" ht="28.5" customHeight="1">
      <c r="B32" s="48" t="s">
        <v>96</v>
      </c>
      <c r="C32" s="49" t="s">
        <v>97</v>
      </c>
      <c r="D32" s="50" t="s">
        <v>98</v>
      </c>
      <c r="E32" s="43">
        <v>46086.0</v>
      </c>
      <c r="F32" s="40">
        <v>700.0</v>
      </c>
      <c r="G32" s="41" t="s">
        <v>18</v>
      </c>
      <c r="H32" s="18" t="b">
        <v>1</v>
      </c>
      <c r="I32" s="18" t="b">
        <v>1</v>
      </c>
      <c r="J32" s="14" t="s">
        <v>18</v>
      </c>
      <c r="K32" s="15"/>
      <c r="L32" s="15"/>
      <c r="M32" s="14"/>
      <c r="N32" s="30"/>
      <c r="O32" s="14"/>
      <c r="P32" s="19"/>
    </row>
    <row r="33" ht="28.5" customHeight="1">
      <c r="B33" s="20" t="s">
        <v>99</v>
      </c>
      <c r="C33" s="21"/>
      <c r="D33" s="46" t="s">
        <v>100</v>
      </c>
      <c r="E33" s="23">
        <v>46111.0</v>
      </c>
      <c r="F33" s="35"/>
      <c r="G33" s="42" t="s">
        <v>18</v>
      </c>
      <c r="H33" s="25" t="b">
        <v>1</v>
      </c>
      <c r="I33" s="25" t="b">
        <v>1</v>
      </c>
      <c r="J33" s="21"/>
      <c r="K33" s="22"/>
      <c r="L33" s="22"/>
      <c r="M33" s="21"/>
      <c r="N33" s="28"/>
      <c r="O33" s="21"/>
      <c r="P33" s="26"/>
    </row>
    <row r="34" ht="28.5" customHeight="1">
      <c r="B34" s="29" t="s">
        <v>101</v>
      </c>
      <c r="C34" s="14"/>
      <c r="D34" s="15" t="s">
        <v>102</v>
      </c>
      <c r="E34" s="16">
        <v>46111.0</v>
      </c>
      <c r="F34" s="30"/>
      <c r="G34" s="14" t="s">
        <v>18</v>
      </c>
      <c r="H34" s="18" t="b">
        <v>1</v>
      </c>
      <c r="I34" s="18" t="b">
        <v>1</v>
      </c>
      <c r="J34" s="14"/>
      <c r="K34" s="15"/>
      <c r="L34" s="15"/>
      <c r="M34" s="14"/>
      <c r="N34" s="30"/>
      <c r="O34" s="14"/>
      <c r="P34" s="19"/>
      <c r="R34" s="51"/>
      <c r="S34" s="51"/>
      <c r="T34" s="51"/>
      <c r="U34" s="52"/>
      <c r="V34" s="52"/>
      <c r="W34" s="51"/>
      <c r="X34" s="51"/>
      <c r="Y34" s="51"/>
      <c r="Z34" s="51"/>
      <c r="AA34" s="12"/>
      <c r="AB34" s="12"/>
    </row>
    <row r="35" ht="28.5" customHeight="1">
      <c r="B35" s="53" t="s">
        <v>103</v>
      </c>
      <c r="C35" s="21" t="s">
        <v>104</v>
      </c>
      <c r="D35" s="22" t="s">
        <v>105</v>
      </c>
      <c r="E35" s="23">
        <v>46112.0</v>
      </c>
      <c r="F35" s="28"/>
      <c r="G35" s="21" t="s">
        <v>18</v>
      </c>
      <c r="H35" s="25" t="b">
        <v>0</v>
      </c>
      <c r="I35" s="25" t="b">
        <v>0</v>
      </c>
      <c r="J35" s="21"/>
      <c r="K35" s="22"/>
      <c r="L35" s="22"/>
      <c r="M35" s="21"/>
      <c r="N35" s="28"/>
      <c r="O35" s="21"/>
      <c r="P35" s="26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28.5" customHeight="1">
      <c r="B36" s="13" t="s">
        <v>106</v>
      </c>
      <c r="C36" s="14" t="s">
        <v>107</v>
      </c>
      <c r="D36" s="15" t="s">
        <v>108</v>
      </c>
      <c r="E36" s="54">
        <v>46112.0</v>
      </c>
      <c r="F36" s="30"/>
      <c r="G36" s="14"/>
      <c r="H36" s="18" t="b">
        <v>0</v>
      </c>
      <c r="I36" s="18" t="b">
        <v>0</v>
      </c>
      <c r="J36" s="14"/>
      <c r="K36" s="15"/>
      <c r="L36" s="15"/>
      <c r="M36" s="14"/>
      <c r="N36" s="30"/>
      <c r="O36" s="14"/>
      <c r="P36" s="19"/>
      <c r="R36" s="51"/>
      <c r="S36" s="51"/>
      <c r="T36" s="51"/>
      <c r="U36" s="52"/>
      <c r="V36" s="52"/>
      <c r="W36" s="51"/>
      <c r="X36" s="51"/>
      <c r="Y36" s="51"/>
      <c r="Z36" s="51"/>
      <c r="AA36" s="51"/>
      <c r="AB36" s="12"/>
    </row>
    <row r="37" ht="28.5" customHeight="1">
      <c r="B37" s="53" t="s">
        <v>109</v>
      </c>
      <c r="C37" s="21"/>
      <c r="D37" s="22"/>
      <c r="E37" s="21"/>
      <c r="F37" s="28"/>
      <c r="G37" s="21"/>
      <c r="H37" s="25" t="b">
        <v>0</v>
      </c>
      <c r="I37" s="25" t="b">
        <v>0</v>
      </c>
      <c r="J37" s="21"/>
      <c r="K37" s="22"/>
      <c r="L37" s="22"/>
      <c r="M37" s="21"/>
      <c r="N37" s="28"/>
      <c r="O37" s="21"/>
      <c r="P37" s="26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28.5" customHeight="1">
      <c r="B38" s="29" t="s">
        <v>110</v>
      </c>
      <c r="C38" s="14"/>
      <c r="D38" s="15"/>
      <c r="E38" s="14"/>
      <c r="F38" s="30"/>
      <c r="G38" s="14"/>
      <c r="H38" s="18" t="b">
        <v>0</v>
      </c>
      <c r="I38" s="18" t="b">
        <v>0</v>
      </c>
      <c r="J38" s="14"/>
      <c r="K38" s="15"/>
      <c r="L38" s="15"/>
      <c r="M38" s="14"/>
      <c r="N38" s="30"/>
      <c r="O38" s="14"/>
      <c r="P38" s="19"/>
    </row>
    <row r="39" ht="28.5" customHeight="1">
      <c r="B39" s="53"/>
      <c r="C39" s="21"/>
      <c r="D39" s="22"/>
      <c r="E39" s="21"/>
      <c r="F39" s="28"/>
      <c r="G39" s="21"/>
      <c r="H39" s="25" t="b">
        <v>0</v>
      </c>
      <c r="I39" s="25" t="b">
        <v>0</v>
      </c>
      <c r="J39" s="21"/>
      <c r="K39" s="22"/>
      <c r="L39" s="22"/>
      <c r="M39" s="21"/>
      <c r="N39" s="28"/>
      <c r="O39" s="21"/>
      <c r="P39" s="26"/>
    </row>
    <row r="40" ht="28.5" customHeight="1">
      <c r="B40" s="29"/>
      <c r="C40" s="14"/>
      <c r="D40" s="15"/>
      <c r="E40" s="14"/>
      <c r="F40" s="30"/>
      <c r="G40" s="14"/>
      <c r="H40" s="18" t="b">
        <v>0</v>
      </c>
      <c r="I40" s="18" t="b">
        <v>0</v>
      </c>
      <c r="J40" s="14"/>
      <c r="K40" s="15"/>
      <c r="L40" s="15"/>
      <c r="M40" s="14"/>
      <c r="N40" s="30"/>
      <c r="O40" s="14"/>
      <c r="P40" s="19"/>
    </row>
    <row r="41" ht="28.5" customHeight="1">
      <c r="B41" s="53"/>
      <c r="C41" s="21"/>
      <c r="D41" s="22"/>
      <c r="E41" s="21"/>
      <c r="F41" s="28"/>
      <c r="G41" s="21"/>
      <c r="H41" s="25" t="b">
        <v>0</v>
      </c>
      <c r="I41" s="25" t="b">
        <v>0</v>
      </c>
      <c r="J41" s="21"/>
      <c r="K41" s="22"/>
      <c r="L41" s="22"/>
      <c r="M41" s="21"/>
      <c r="N41" s="28"/>
      <c r="O41" s="21"/>
      <c r="P41" s="26"/>
    </row>
    <row r="42" ht="28.5" customHeight="1">
      <c r="B42" s="29"/>
      <c r="C42" s="14"/>
      <c r="D42" s="15"/>
      <c r="E42" s="14"/>
      <c r="F42" s="30"/>
      <c r="G42" s="14"/>
      <c r="H42" s="18" t="b">
        <v>0</v>
      </c>
      <c r="I42" s="18" t="b">
        <v>0</v>
      </c>
      <c r="J42" s="14"/>
      <c r="K42" s="15"/>
      <c r="L42" s="15"/>
      <c r="M42" s="14"/>
      <c r="N42" s="30"/>
      <c r="O42" s="14"/>
      <c r="P42" s="19"/>
    </row>
    <row r="43" ht="28.5" customHeight="1">
      <c r="B43" s="55"/>
      <c r="C43" s="56"/>
      <c r="D43" s="57"/>
      <c r="E43" s="56"/>
      <c r="F43" s="58"/>
      <c r="G43" s="56"/>
      <c r="H43" s="59" t="b">
        <v>0</v>
      </c>
      <c r="I43" s="59" t="b">
        <v>0</v>
      </c>
      <c r="J43" s="56"/>
      <c r="K43" s="57"/>
      <c r="L43" s="57"/>
      <c r="M43" s="56"/>
      <c r="N43" s="58"/>
      <c r="O43" s="56"/>
      <c r="P43" s="60"/>
    </row>
    <row r="44" ht="28.5" customHeight="1">
      <c r="F44" s="61"/>
      <c r="H44" s="62"/>
      <c r="I44" s="62"/>
      <c r="K44" s="63"/>
      <c r="L44" s="63"/>
    </row>
    <row r="45" ht="28.5" customHeight="1">
      <c r="F45" s="61"/>
      <c r="H45" s="62"/>
      <c r="I45" s="62"/>
      <c r="K45" s="63"/>
      <c r="L45" s="63"/>
    </row>
    <row r="46" ht="28.5" customHeight="1">
      <c r="F46" s="61"/>
      <c r="H46" s="62"/>
      <c r="I46" s="62"/>
      <c r="K46" s="63"/>
      <c r="L46" s="63"/>
    </row>
    <row r="47" ht="28.5" customHeight="1">
      <c r="F47" s="61"/>
      <c r="H47" s="62"/>
      <c r="I47" s="62"/>
      <c r="K47" s="63"/>
      <c r="L47" s="63"/>
    </row>
    <row r="48" ht="28.5" customHeight="1">
      <c r="F48" s="61"/>
      <c r="H48" s="62"/>
      <c r="I48" s="62"/>
      <c r="K48" s="63"/>
      <c r="L48" s="63"/>
    </row>
    <row r="49" ht="28.5" customHeight="1">
      <c r="F49" s="61"/>
      <c r="H49" s="62"/>
      <c r="I49" s="62"/>
      <c r="K49" s="63"/>
      <c r="L49" s="63"/>
    </row>
    <row r="50" ht="28.5" customHeight="1">
      <c r="F50" s="61"/>
      <c r="H50" s="62"/>
      <c r="I50" s="62"/>
      <c r="K50" s="63"/>
      <c r="L50" s="63"/>
    </row>
    <row r="51" ht="28.5" customHeight="1">
      <c r="F51" s="61"/>
      <c r="H51" s="62"/>
      <c r="I51" s="62"/>
      <c r="K51" s="63"/>
      <c r="L51" s="63"/>
    </row>
    <row r="52" ht="28.5" customHeight="1">
      <c r="F52" s="61"/>
      <c r="H52" s="62"/>
      <c r="I52" s="62"/>
      <c r="K52" s="63"/>
      <c r="L52" s="63"/>
    </row>
    <row r="53" ht="28.5" customHeight="1">
      <c r="F53" s="61"/>
      <c r="H53" s="62"/>
      <c r="I53" s="62"/>
      <c r="K53" s="63"/>
      <c r="L53" s="63"/>
    </row>
    <row r="54" ht="28.5" customHeight="1">
      <c r="F54" s="61"/>
      <c r="H54" s="62"/>
      <c r="I54" s="62"/>
      <c r="K54" s="63"/>
      <c r="L54" s="63"/>
    </row>
    <row r="55" ht="28.5" customHeight="1">
      <c r="F55" s="61"/>
      <c r="H55" s="62"/>
      <c r="I55" s="62"/>
      <c r="K55" s="63"/>
      <c r="L55" s="63"/>
    </row>
    <row r="56" ht="28.5" customHeight="1">
      <c r="F56" s="61"/>
      <c r="H56" s="62"/>
      <c r="I56" s="62"/>
      <c r="K56" s="63"/>
      <c r="L56" s="63"/>
    </row>
    <row r="57" ht="28.5" customHeight="1">
      <c r="F57" s="61"/>
      <c r="H57" s="62"/>
      <c r="I57" s="62"/>
    </row>
    <row r="58" ht="28.5" customHeight="1">
      <c r="F58" s="61"/>
      <c r="H58" s="62"/>
      <c r="I58" s="62"/>
    </row>
    <row r="59" ht="28.5" customHeight="1">
      <c r="F59" s="61"/>
      <c r="H59" s="62"/>
      <c r="I59" s="62"/>
    </row>
    <row r="60" ht="28.5" customHeight="1">
      <c r="F60" s="64"/>
      <c r="H60" s="62"/>
      <c r="I60" s="62"/>
    </row>
    <row r="61" ht="28.5" customHeight="1">
      <c r="F61" s="61"/>
      <c r="H61" s="62"/>
      <c r="I61" s="62"/>
    </row>
    <row r="62" ht="28.5" customHeight="1">
      <c r="F62" s="61"/>
      <c r="H62" s="62"/>
      <c r="I62" s="62"/>
    </row>
    <row r="63" ht="28.5" customHeight="1">
      <c r="F63" s="61"/>
      <c r="H63" s="62"/>
      <c r="I63" s="62"/>
    </row>
    <row r="64" ht="28.5" customHeight="1">
      <c r="F64" s="61"/>
      <c r="H64" s="62"/>
      <c r="I64" s="62"/>
    </row>
    <row r="65" ht="28.5" customHeight="1">
      <c r="F65" s="61"/>
      <c r="H65" s="62"/>
      <c r="I65" s="62"/>
    </row>
    <row r="66" ht="28.5" customHeight="1">
      <c r="F66" s="61"/>
      <c r="H66" s="62"/>
      <c r="I66" s="62"/>
    </row>
    <row r="67" ht="28.5" customHeight="1">
      <c r="F67" s="61"/>
      <c r="H67" s="62"/>
      <c r="I67" s="62"/>
    </row>
    <row r="68" ht="28.5" customHeight="1">
      <c r="F68" s="61"/>
      <c r="H68" s="62"/>
      <c r="I68" s="62"/>
    </row>
    <row r="69" ht="28.5" customHeight="1">
      <c r="F69" s="61"/>
      <c r="H69" s="62"/>
      <c r="I69" s="62"/>
    </row>
    <row r="70" ht="28.5" customHeight="1">
      <c r="F70" s="61"/>
      <c r="H70" s="62"/>
      <c r="I70" s="62"/>
    </row>
    <row r="71" ht="28.5" customHeight="1">
      <c r="F71" s="61"/>
      <c r="H71" s="62"/>
      <c r="I71" s="62"/>
    </row>
    <row r="72" ht="28.5" customHeight="1">
      <c r="F72" s="61"/>
      <c r="H72" s="62"/>
      <c r="I72" s="62"/>
    </row>
    <row r="73" ht="28.5" customHeight="1">
      <c r="F73" s="61"/>
      <c r="H73" s="62"/>
      <c r="I73" s="62"/>
    </row>
    <row r="74" ht="28.5" customHeight="1">
      <c r="F74" s="61"/>
      <c r="H74" s="62"/>
      <c r="I74" s="62"/>
    </row>
    <row r="75" ht="28.5" customHeight="1">
      <c r="F75" s="61"/>
    </row>
    <row r="76" ht="28.5" customHeight="1">
      <c r="F76" s="61"/>
    </row>
    <row r="77" ht="28.5" customHeight="1">
      <c r="F77" s="61"/>
    </row>
    <row r="78" ht="28.5" customHeight="1">
      <c r="F78" s="61"/>
    </row>
    <row r="79" ht="28.5" customHeight="1">
      <c r="F79" s="61"/>
    </row>
    <row r="80" ht="28.5" customHeight="1">
      <c r="F80" s="61"/>
    </row>
    <row r="81" ht="28.5" customHeight="1">
      <c r="F81" s="61"/>
    </row>
    <row r="82" ht="28.5" customHeight="1">
      <c r="F82" s="61"/>
    </row>
    <row r="83" ht="28.5" customHeight="1">
      <c r="F83" s="61"/>
    </row>
    <row r="84" ht="28.5" customHeight="1">
      <c r="F84" s="61"/>
    </row>
    <row r="85" ht="28.5" customHeight="1">
      <c r="F85" s="61"/>
    </row>
    <row r="86" ht="28.5" customHeight="1">
      <c r="F86" s="61"/>
    </row>
    <row r="87" ht="28.5" customHeight="1">
      <c r="F87" s="61"/>
    </row>
    <row r="88" ht="28.5" customHeight="1">
      <c r="F88" s="61"/>
    </row>
    <row r="89" ht="28.5" customHeight="1">
      <c r="F89" s="61"/>
    </row>
    <row r="90" ht="28.5" customHeight="1">
      <c r="F90" s="61"/>
    </row>
    <row r="91" ht="28.5" customHeight="1">
      <c r="F91" s="61"/>
    </row>
    <row r="92" ht="28.5" customHeight="1">
      <c r="F92" s="61"/>
    </row>
    <row r="93" ht="28.5" customHeight="1">
      <c r="F93" s="61"/>
    </row>
    <row r="94" ht="28.5" customHeight="1">
      <c r="F94" s="61"/>
    </row>
    <row r="95" ht="28.5" customHeight="1">
      <c r="F95" s="61"/>
    </row>
    <row r="96" ht="28.5" customHeight="1">
      <c r="F96" s="61"/>
    </row>
    <row r="97" ht="28.5" customHeight="1">
      <c r="F97" s="61"/>
    </row>
    <row r="98" ht="28.5" customHeight="1">
      <c r="F98" s="61"/>
    </row>
    <row r="99" ht="28.5" customHeight="1">
      <c r="F99" s="61"/>
    </row>
    <row r="100" ht="28.5" customHeight="1">
      <c r="F100" s="61"/>
    </row>
    <row r="101" ht="28.5" customHeight="1">
      <c r="F101" s="61"/>
    </row>
    <row r="102" ht="28.5" customHeight="1">
      <c r="F102" s="61"/>
    </row>
    <row r="103" ht="28.5" customHeight="1">
      <c r="F103" s="61"/>
    </row>
    <row r="104" ht="28.5" customHeight="1">
      <c r="F104" s="61"/>
    </row>
    <row r="105" ht="28.5" customHeight="1">
      <c r="F105" s="61"/>
    </row>
    <row r="106" ht="28.5" customHeight="1">
      <c r="F106" s="61"/>
    </row>
    <row r="107" ht="28.5" customHeight="1">
      <c r="F107" s="61"/>
    </row>
    <row r="108" ht="28.5" customHeight="1">
      <c r="F108" s="61"/>
    </row>
    <row r="109" ht="28.5" customHeight="1">
      <c r="F109" s="61"/>
    </row>
    <row r="110" ht="28.5" customHeight="1">
      <c r="F110" s="61"/>
    </row>
    <row r="111" ht="28.5" customHeight="1">
      <c r="F111" s="61"/>
    </row>
    <row r="112" ht="28.5" customHeight="1">
      <c r="F112" s="61"/>
    </row>
    <row r="113" ht="28.5" customHeight="1">
      <c r="F113" s="61"/>
    </row>
    <row r="114" ht="28.5" customHeight="1">
      <c r="F114" s="61"/>
    </row>
    <row r="115" ht="28.5" customHeight="1">
      <c r="F115" s="61"/>
    </row>
    <row r="116" ht="28.5" customHeight="1">
      <c r="F116" s="61"/>
    </row>
    <row r="117" ht="28.5" customHeight="1">
      <c r="F117" s="61"/>
    </row>
    <row r="118" ht="28.5" customHeight="1">
      <c r="F118" s="61"/>
    </row>
    <row r="119" ht="28.5" customHeight="1">
      <c r="F119" s="61"/>
    </row>
    <row r="120" ht="28.5" customHeight="1">
      <c r="F120" s="61"/>
    </row>
    <row r="121" ht="28.5" customHeight="1">
      <c r="F121" s="61"/>
    </row>
    <row r="122" ht="28.5" customHeight="1">
      <c r="F122" s="61"/>
    </row>
    <row r="123" ht="28.5" customHeight="1">
      <c r="F123" s="61"/>
    </row>
    <row r="124" ht="28.5" customHeight="1">
      <c r="F124" s="61"/>
    </row>
    <row r="125" ht="28.5" customHeight="1">
      <c r="F125" s="61"/>
    </row>
    <row r="126" ht="28.5" customHeight="1">
      <c r="F126" s="61"/>
    </row>
    <row r="127" ht="28.5" customHeight="1">
      <c r="F127" s="61"/>
    </row>
    <row r="128" ht="28.5" customHeight="1">
      <c r="F128" s="61"/>
    </row>
    <row r="129" ht="28.5" customHeight="1">
      <c r="F129" s="61"/>
    </row>
    <row r="130" ht="28.5" customHeight="1">
      <c r="F130" s="61"/>
    </row>
    <row r="131" ht="28.5" customHeight="1">
      <c r="F131" s="61"/>
    </row>
    <row r="132" ht="28.5" customHeight="1">
      <c r="F132" s="61"/>
    </row>
    <row r="133" ht="28.5" customHeight="1">
      <c r="F133" s="61"/>
    </row>
    <row r="134" ht="28.5" customHeight="1">
      <c r="F134" s="61"/>
    </row>
    <row r="135" ht="28.5" customHeight="1">
      <c r="F135" s="61"/>
    </row>
    <row r="136" ht="28.5" customHeight="1">
      <c r="F136" s="61"/>
    </row>
    <row r="137" ht="28.5" customHeight="1">
      <c r="F137" s="61"/>
    </row>
    <row r="138" ht="28.5" customHeight="1">
      <c r="F138" s="61"/>
    </row>
    <row r="139" ht="28.5" customHeight="1">
      <c r="F139" s="61"/>
    </row>
    <row r="140" ht="28.5" customHeight="1">
      <c r="F140" s="61"/>
    </row>
    <row r="141" ht="28.5" customHeight="1">
      <c r="F141" s="61"/>
    </row>
    <row r="142" ht="28.5" customHeight="1">
      <c r="F142" s="61"/>
    </row>
    <row r="143" ht="28.5" customHeight="1">
      <c r="F143" s="61"/>
    </row>
    <row r="144" ht="28.5" customHeight="1">
      <c r="F144" s="61"/>
    </row>
    <row r="145" ht="28.5" customHeight="1">
      <c r="F145" s="61"/>
    </row>
    <row r="146" ht="28.5" customHeight="1">
      <c r="F146" s="61"/>
    </row>
    <row r="147" ht="28.5" customHeight="1">
      <c r="F147" s="61"/>
    </row>
    <row r="148" ht="28.5" customHeight="1">
      <c r="F148" s="61"/>
    </row>
    <row r="149" ht="28.5" customHeight="1">
      <c r="F149" s="61"/>
    </row>
    <row r="150" ht="28.5" customHeight="1">
      <c r="F150" s="61"/>
    </row>
    <row r="151" ht="28.5" customHeight="1">
      <c r="F151" s="61"/>
    </row>
    <row r="152" ht="28.5" customHeight="1">
      <c r="F152" s="61"/>
    </row>
    <row r="153" ht="28.5" customHeight="1">
      <c r="F153" s="61"/>
    </row>
    <row r="154" ht="28.5" customHeight="1">
      <c r="F154" s="61"/>
    </row>
    <row r="155" ht="28.5" customHeight="1">
      <c r="F155" s="61"/>
    </row>
    <row r="156" ht="28.5" customHeight="1">
      <c r="F156" s="61"/>
    </row>
    <row r="157" ht="28.5" customHeight="1">
      <c r="F157" s="61"/>
    </row>
    <row r="158" ht="28.5" customHeight="1">
      <c r="F158" s="61"/>
    </row>
    <row r="159" ht="28.5" customHeight="1">
      <c r="F159" s="61"/>
    </row>
    <row r="160" ht="28.5" customHeight="1">
      <c r="F160" s="61"/>
    </row>
    <row r="161" ht="28.5" customHeight="1">
      <c r="F161" s="61"/>
    </row>
    <row r="162" ht="28.5" customHeight="1">
      <c r="F162" s="61"/>
    </row>
    <row r="163" ht="28.5" customHeight="1">
      <c r="F163" s="61"/>
    </row>
    <row r="164" ht="28.5" customHeight="1">
      <c r="F164" s="61"/>
    </row>
    <row r="165" ht="28.5" customHeight="1">
      <c r="F165" s="61"/>
    </row>
    <row r="166" ht="28.5" customHeight="1">
      <c r="F166" s="61"/>
    </row>
    <row r="167" ht="28.5" customHeight="1">
      <c r="F167" s="61"/>
    </row>
    <row r="168" ht="28.5" customHeight="1">
      <c r="F168" s="61"/>
    </row>
    <row r="169" ht="28.5" customHeight="1">
      <c r="F169" s="61"/>
    </row>
    <row r="170" ht="28.5" customHeight="1">
      <c r="F170" s="61"/>
    </row>
    <row r="171" ht="28.5" customHeight="1">
      <c r="F171" s="61"/>
    </row>
    <row r="172" ht="28.5" customHeight="1">
      <c r="F172" s="61"/>
    </row>
    <row r="173" ht="28.5" customHeight="1">
      <c r="F173" s="61"/>
    </row>
    <row r="174" ht="28.5" customHeight="1">
      <c r="F174" s="61"/>
    </row>
    <row r="175" ht="28.5" customHeight="1">
      <c r="F175" s="61"/>
    </row>
    <row r="176" ht="28.5" customHeight="1">
      <c r="F176" s="61"/>
    </row>
    <row r="177" ht="28.5" customHeight="1">
      <c r="F177" s="61"/>
    </row>
    <row r="178" ht="28.5" customHeight="1">
      <c r="F178" s="61"/>
    </row>
    <row r="179" ht="28.5" customHeight="1">
      <c r="F179" s="61"/>
    </row>
    <row r="180" ht="28.5" customHeight="1">
      <c r="F180" s="61"/>
    </row>
    <row r="181" ht="28.5" customHeight="1">
      <c r="F181" s="61"/>
    </row>
    <row r="182" ht="28.5" customHeight="1">
      <c r="F182" s="61"/>
    </row>
    <row r="183" ht="28.5" customHeight="1">
      <c r="F183" s="61"/>
    </row>
    <row r="184" ht="28.5" customHeight="1">
      <c r="F184" s="61"/>
    </row>
    <row r="185" ht="28.5" customHeight="1">
      <c r="F185" s="61"/>
    </row>
    <row r="186" ht="28.5" customHeight="1">
      <c r="F186" s="61"/>
    </row>
    <row r="187" ht="28.5" customHeight="1">
      <c r="F187" s="61"/>
    </row>
    <row r="188" ht="28.5" customHeight="1">
      <c r="F188" s="61"/>
    </row>
    <row r="189" ht="28.5" customHeight="1">
      <c r="F189" s="61"/>
    </row>
    <row r="190" ht="28.5" customHeight="1">
      <c r="F190" s="61"/>
    </row>
    <row r="191" ht="28.5" customHeight="1">
      <c r="F191" s="61"/>
    </row>
    <row r="192" ht="28.5" customHeight="1">
      <c r="F192" s="61"/>
    </row>
    <row r="193" ht="28.5" customHeight="1">
      <c r="F193" s="61"/>
    </row>
    <row r="194" ht="28.5" customHeight="1">
      <c r="F194" s="61"/>
    </row>
    <row r="195" ht="28.5" customHeight="1">
      <c r="F195" s="61"/>
    </row>
    <row r="196" ht="28.5" customHeight="1">
      <c r="F196" s="61"/>
    </row>
    <row r="197" ht="28.5" customHeight="1">
      <c r="F197" s="61"/>
    </row>
    <row r="198" ht="28.5" customHeight="1">
      <c r="F198" s="61"/>
    </row>
    <row r="199" ht="28.5" customHeight="1">
      <c r="F199" s="61"/>
    </row>
    <row r="200" ht="28.5" customHeight="1">
      <c r="F200" s="61"/>
    </row>
    <row r="201" ht="28.5" customHeight="1">
      <c r="F201" s="61"/>
    </row>
    <row r="202" ht="28.5" customHeight="1">
      <c r="F202" s="61"/>
    </row>
    <row r="203" ht="28.5" customHeight="1">
      <c r="F203" s="61"/>
    </row>
    <row r="204" ht="28.5" customHeight="1">
      <c r="F204" s="61"/>
    </row>
    <row r="205" ht="28.5" customHeight="1">
      <c r="F205" s="61"/>
    </row>
    <row r="206" ht="28.5" customHeight="1">
      <c r="F206" s="61"/>
    </row>
    <row r="207" ht="28.5" customHeight="1">
      <c r="F207" s="61"/>
    </row>
    <row r="208" ht="28.5" customHeight="1">
      <c r="F208" s="61"/>
    </row>
    <row r="209" ht="28.5" customHeight="1">
      <c r="F209" s="61"/>
    </row>
    <row r="210" ht="28.5" customHeight="1">
      <c r="F210" s="61"/>
    </row>
    <row r="211" ht="28.5" customHeight="1">
      <c r="F211" s="61"/>
    </row>
    <row r="212" ht="28.5" customHeight="1">
      <c r="F212" s="61"/>
    </row>
    <row r="213" ht="28.5" customHeight="1">
      <c r="F213" s="61"/>
    </row>
    <row r="214" ht="28.5" customHeight="1">
      <c r="F214" s="61"/>
    </row>
    <row r="215" ht="28.5" customHeight="1">
      <c r="F215" s="61"/>
    </row>
    <row r="216" ht="28.5" customHeight="1">
      <c r="F216" s="61"/>
    </row>
    <row r="217" ht="28.5" customHeight="1">
      <c r="F217" s="61"/>
    </row>
    <row r="218" ht="28.5" customHeight="1">
      <c r="F218" s="61"/>
    </row>
    <row r="219" ht="28.5" customHeight="1">
      <c r="F219" s="61"/>
    </row>
    <row r="220" ht="28.5" customHeight="1">
      <c r="F220" s="61"/>
    </row>
    <row r="221" ht="28.5" customHeight="1">
      <c r="F221" s="61"/>
    </row>
    <row r="222" ht="28.5" customHeight="1">
      <c r="F222" s="61"/>
    </row>
    <row r="223" ht="28.5" customHeight="1">
      <c r="F223" s="61"/>
    </row>
    <row r="224" ht="28.5" customHeight="1">
      <c r="F224" s="61"/>
    </row>
    <row r="225" ht="28.5" customHeight="1">
      <c r="F225" s="61"/>
    </row>
    <row r="226" ht="28.5" customHeight="1">
      <c r="F226" s="61"/>
    </row>
    <row r="227" ht="28.5" customHeight="1">
      <c r="F227" s="61"/>
    </row>
    <row r="228" ht="28.5" customHeight="1">
      <c r="F228" s="61"/>
    </row>
    <row r="229" ht="28.5" customHeight="1">
      <c r="F229" s="61"/>
    </row>
    <row r="230" ht="28.5" customHeight="1">
      <c r="F230" s="61"/>
    </row>
    <row r="231" ht="28.5" customHeight="1">
      <c r="F231" s="61"/>
    </row>
    <row r="232" ht="28.5" customHeight="1">
      <c r="F232" s="61"/>
    </row>
    <row r="233" ht="28.5" customHeight="1">
      <c r="F233" s="61"/>
    </row>
    <row r="234" ht="28.5" customHeight="1">
      <c r="F234" s="61"/>
    </row>
    <row r="235" ht="28.5" customHeight="1">
      <c r="F235" s="61"/>
    </row>
    <row r="236" ht="28.5" customHeight="1">
      <c r="F236" s="61"/>
    </row>
    <row r="237" ht="28.5" customHeight="1">
      <c r="F237" s="61"/>
    </row>
    <row r="238" ht="28.5" customHeight="1">
      <c r="F238" s="61"/>
    </row>
    <row r="239" ht="28.5" customHeight="1">
      <c r="F239" s="61"/>
    </row>
    <row r="240" ht="28.5" customHeight="1">
      <c r="F240" s="61"/>
    </row>
    <row r="241" ht="28.5" customHeight="1">
      <c r="F241" s="61"/>
    </row>
    <row r="242" ht="28.5" customHeight="1">
      <c r="F242" s="61"/>
    </row>
    <row r="243" ht="28.5" customHeight="1">
      <c r="F243" s="6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D$43"/>
  <mergeCells count="1">
    <mergeCell ref="B1:P1"/>
  </mergeCells>
  <dataValidations>
    <dataValidation type="list" allowBlank="1" showErrorMessage="1" sqref="O3:O43">
      <formula1>"OUI,NON,En Attente BE"</formula1>
    </dataValidation>
    <dataValidation type="list" allowBlank="1" showErrorMessage="1" sqref="G3:G43">
      <formula1>"OUI,NON,Reportée"</formula1>
    </dataValidation>
    <dataValidation type="list" allowBlank="1" showErrorMessage="1" sqref="J3:K31 J32:J43 M3:M43">
      <formula1>"OUI,NON"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4.0"/>
    <col customWidth="1" min="2" max="2" width="16.38"/>
    <col customWidth="1" hidden="1" min="3" max="3" width="12.63"/>
    <col customWidth="1" min="4" max="6" width="12.63"/>
  </cols>
  <sheetData>
    <row r="1" ht="42.75" customHeight="1">
      <c r="B1" s="1" t="s">
        <v>111</v>
      </c>
    </row>
    <row r="2" ht="28.5" customHeight="1">
      <c r="B2" s="2" t="s">
        <v>1</v>
      </c>
      <c r="C2" s="2" t="s">
        <v>2</v>
      </c>
      <c r="D2" s="2" t="s">
        <v>3</v>
      </c>
      <c r="E2" s="2" t="s">
        <v>112</v>
      </c>
      <c r="F2" s="3" t="s">
        <v>5</v>
      </c>
      <c r="G2" s="2" t="s">
        <v>113</v>
      </c>
      <c r="H2" s="2" t="s">
        <v>7</v>
      </c>
      <c r="I2" s="2" t="s">
        <v>8</v>
      </c>
      <c r="J2" s="2" t="s">
        <v>14</v>
      </c>
      <c r="K2" s="2" t="s">
        <v>15</v>
      </c>
    </row>
    <row r="3" ht="28.5" customHeight="1">
      <c r="B3" s="65" t="s">
        <v>114</v>
      </c>
      <c r="C3" s="66" t="s">
        <v>115</v>
      </c>
      <c r="D3" s="67" t="s">
        <v>116</v>
      </c>
      <c r="E3" s="68">
        <v>46045.0</v>
      </c>
      <c r="F3" s="69"/>
      <c r="G3" s="70"/>
      <c r="H3" s="69" t="b">
        <v>0</v>
      </c>
      <c r="I3" s="69" t="b">
        <v>0</v>
      </c>
      <c r="J3" s="70"/>
      <c r="K3" s="70"/>
      <c r="L3" s="12"/>
    </row>
    <row r="4" ht="28.5" customHeight="1">
      <c r="B4" s="71" t="s">
        <v>117</v>
      </c>
      <c r="C4" s="71" t="s">
        <v>118</v>
      </c>
      <c r="D4" s="72" t="s">
        <v>33</v>
      </c>
      <c r="E4" s="73">
        <v>46045.0</v>
      </c>
      <c r="F4" s="74"/>
      <c r="G4" s="75"/>
      <c r="H4" s="74" t="b">
        <v>0</v>
      </c>
      <c r="I4" s="74" t="b">
        <v>0</v>
      </c>
      <c r="J4" s="75"/>
      <c r="K4" s="75"/>
      <c r="L4" s="12"/>
    </row>
    <row r="5" ht="28.5" customHeight="1">
      <c r="B5" s="76" t="s">
        <v>119</v>
      </c>
      <c r="C5" s="76" t="s">
        <v>120</v>
      </c>
      <c r="D5" s="77" t="s">
        <v>121</v>
      </c>
      <c r="E5" s="78">
        <v>46052.0</v>
      </c>
      <c r="F5" s="69"/>
      <c r="G5" s="70" t="s">
        <v>18</v>
      </c>
      <c r="H5" s="69" t="b">
        <v>0</v>
      </c>
      <c r="I5" s="69" t="b">
        <v>0</v>
      </c>
      <c r="J5" s="70"/>
      <c r="K5" s="79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ht="28.5" customHeight="1">
      <c r="B6" s="71" t="s">
        <v>122</v>
      </c>
      <c r="C6" s="71" t="s">
        <v>123</v>
      </c>
      <c r="D6" s="72" t="s">
        <v>124</v>
      </c>
      <c r="E6" s="73">
        <v>46070.0</v>
      </c>
      <c r="F6" s="80"/>
      <c r="G6" s="81"/>
      <c r="H6" s="80" t="b">
        <v>0</v>
      </c>
      <c r="I6" s="80" t="b">
        <v>0</v>
      </c>
      <c r="J6" s="81"/>
      <c r="K6" s="82"/>
      <c r="L6" s="12"/>
      <c r="M6" s="83"/>
      <c r="N6" s="83"/>
      <c r="O6" s="83"/>
      <c r="P6" s="84"/>
      <c r="Q6" s="85"/>
      <c r="R6" s="83"/>
      <c r="S6" s="83"/>
      <c r="T6" s="83"/>
      <c r="U6" s="83"/>
      <c r="V6" s="83"/>
      <c r="W6" s="12"/>
    </row>
    <row r="7" ht="28.5" customHeight="1">
      <c r="B7" s="86" t="s">
        <v>125</v>
      </c>
      <c r="C7" s="86" t="s">
        <v>126</v>
      </c>
      <c r="D7" s="87" t="s">
        <v>127</v>
      </c>
      <c r="E7" s="88">
        <v>46101.0</v>
      </c>
      <c r="F7" s="69"/>
      <c r="G7" s="70"/>
      <c r="H7" s="69" t="b">
        <v>0</v>
      </c>
      <c r="I7" s="69" t="b">
        <v>0</v>
      </c>
      <c r="J7" s="70"/>
      <c r="K7" s="79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ht="28.5" customHeight="1">
      <c r="B8" s="71"/>
      <c r="C8" s="89"/>
      <c r="D8" s="72"/>
      <c r="E8" s="73"/>
      <c r="F8" s="80"/>
      <c r="G8" s="81"/>
      <c r="H8" s="80" t="b">
        <v>0</v>
      </c>
      <c r="I8" s="80" t="b">
        <v>0</v>
      </c>
      <c r="J8" s="81"/>
      <c r="K8" s="8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ht="28.5" customHeight="1">
      <c r="B9" s="76"/>
      <c r="C9" s="90"/>
      <c r="D9" s="77"/>
      <c r="E9" s="78"/>
      <c r="F9" s="69"/>
      <c r="G9" s="70"/>
      <c r="H9" s="69" t="b">
        <v>0</v>
      </c>
      <c r="I9" s="69" t="b">
        <v>0</v>
      </c>
      <c r="J9" s="70"/>
      <c r="K9" s="70"/>
    </row>
    <row r="10" ht="28.5" customHeight="1">
      <c r="B10" s="71"/>
      <c r="C10" s="89"/>
      <c r="D10" s="72"/>
      <c r="E10" s="73"/>
      <c r="F10" s="80"/>
      <c r="G10" s="81"/>
      <c r="H10" s="80" t="b">
        <v>0</v>
      </c>
      <c r="I10" s="80" t="b">
        <v>0</v>
      </c>
      <c r="J10" s="81"/>
      <c r="K10" s="81"/>
    </row>
    <row r="11" ht="28.5" customHeight="1">
      <c r="B11" s="76"/>
      <c r="C11" s="90"/>
      <c r="D11" s="77"/>
      <c r="E11" s="78"/>
      <c r="F11" s="69"/>
      <c r="G11" s="70"/>
      <c r="H11" s="69" t="b">
        <v>0</v>
      </c>
      <c r="I11" s="69" t="b">
        <v>0</v>
      </c>
      <c r="J11" s="70"/>
      <c r="K11" s="70"/>
    </row>
    <row r="12" ht="28.5" customHeight="1">
      <c r="B12" s="71"/>
      <c r="C12" s="89"/>
      <c r="D12" s="72"/>
      <c r="E12" s="73"/>
      <c r="F12" s="80"/>
      <c r="G12" s="81"/>
      <c r="H12" s="80" t="b">
        <v>0</v>
      </c>
      <c r="I12" s="80" t="b">
        <v>0</v>
      </c>
      <c r="J12" s="81"/>
      <c r="K12" s="81"/>
    </row>
    <row r="13" ht="28.5" customHeight="1">
      <c r="B13" s="76"/>
      <c r="C13" s="90"/>
      <c r="D13" s="77"/>
      <c r="E13" s="78"/>
      <c r="F13" s="69"/>
      <c r="G13" s="70"/>
      <c r="H13" s="69" t="b">
        <v>0</v>
      </c>
      <c r="I13" s="69" t="b">
        <v>0</v>
      </c>
      <c r="J13" s="70"/>
      <c r="K13" s="70"/>
    </row>
    <row r="14" ht="28.5" customHeight="1">
      <c r="B14" s="71"/>
      <c r="C14" s="89"/>
      <c r="D14" s="72"/>
      <c r="E14" s="73"/>
      <c r="F14" s="80"/>
      <c r="G14" s="81"/>
      <c r="H14" s="80" t="b">
        <v>0</v>
      </c>
      <c r="I14" s="80" t="b">
        <v>0</v>
      </c>
      <c r="J14" s="81"/>
      <c r="K14" s="81"/>
    </row>
    <row r="15" ht="28.5" customHeight="1">
      <c r="B15" s="76"/>
      <c r="C15" s="90"/>
      <c r="D15" s="77"/>
      <c r="E15" s="78"/>
      <c r="F15" s="69"/>
      <c r="G15" s="70"/>
      <c r="H15" s="69" t="b">
        <v>0</v>
      </c>
      <c r="I15" s="69" t="b">
        <v>0</v>
      </c>
      <c r="J15" s="70"/>
      <c r="K15" s="70"/>
    </row>
    <row r="16" ht="28.5" customHeight="1">
      <c r="B16" s="71"/>
      <c r="C16" s="89"/>
      <c r="D16" s="72"/>
      <c r="E16" s="73"/>
      <c r="F16" s="80"/>
      <c r="G16" s="81"/>
      <c r="H16" s="80" t="b">
        <v>0</v>
      </c>
      <c r="I16" s="80" t="b">
        <v>0</v>
      </c>
      <c r="J16" s="81"/>
      <c r="K16" s="81"/>
    </row>
    <row r="17" ht="28.5" customHeight="1">
      <c r="B17" s="76"/>
      <c r="C17" s="90"/>
      <c r="D17" s="77"/>
      <c r="E17" s="78"/>
      <c r="F17" s="69"/>
      <c r="G17" s="70"/>
      <c r="H17" s="69" t="b">
        <v>0</v>
      </c>
      <c r="I17" s="69" t="b">
        <v>0</v>
      </c>
      <c r="J17" s="70"/>
      <c r="K17" s="70"/>
    </row>
    <row r="18" ht="28.5" customHeight="1">
      <c r="B18" s="71"/>
      <c r="C18" s="89"/>
      <c r="D18" s="72"/>
      <c r="E18" s="73"/>
      <c r="F18" s="80"/>
      <c r="G18" s="81"/>
      <c r="H18" s="80" t="b">
        <v>0</v>
      </c>
      <c r="I18" s="80" t="b">
        <v>0</v>
      </c>
      <c r="J18" s="81"/>
      <c r="K18" s="81"/>
    </row>
    <row r="19" ht="43.5" customHeight="1">
      <c r="B19" s="76"/>
      <c r="C19" s="90"/>
      <c r="D19" s="77"/>
      <c r="E19" s="78"/>
      <c r="F19" s="69"/>
      <c r="G19" s="70"/>
      <c r="H19" s="69" t="b">
        <v>0</v>
      </c>
      <c r="I19" s="69" t="b">
        <v>0</v>
      </c>
      <c r="J19" s="70"/>
      <c r="K19" s="70"/>
    </row>
    <row r="20" ht="42.75" customHeight="1">
      <c r="B20" s="71"/>
      <c r="C20" s="89"/>
      <c r="D20" s="72"/>
      <c r="E20" s="73"/>
      <c r="F20" s="80"/>
      <c r="G20" s="81"/>
      <c r="H20" s="80" t="b">
        <v>0</v>
      </c>
      <c r="I20" s="80" t="b">
        <v>0</v>
      </c>
      <c r="J20" s="81"/>
      <c r="K20" s="81"/>
    </row>
    <row r="21" ht="28.5" customHeight="1">
      <c r="B21" s="76"/>
      <c r="C21" s="90"/>
      <c r="D21" s="77"/>
      <c r="E21" s="76"/>
      <c r="F21" s="69"/>
      <c r="G21" s="70"/>
      <c r="H21" s="69" t="b">
        <v>0</v>
      </c>
      <c r="I21" s="69" t="b">
        <v>0</v>
      </c>
      <c r="J21" s="70"/>
      <c r="K21" s="70"/>
    </row>
    <row r="22" ht="28.5" customHeight="1">
      <c r="B22" s="91"/>
      <c r="C22" s="81"/>
      <c r="D22" s="92"/>
      <c r="E22" s="81"/>
      <c r="F22" s="80"/>
      <c r="G22" s="81"/>
      <c r="H22" s="80" t="b">
        <v>0</v>
      </c>
      <c r="I22" s="80" t="b">
        <v>0</v>
      </c>
      <c r="J22" s="81"/>
      <c r="K22" s="81"/>
    </row>
    <row r="23" ht="28.5" customHeight="1">
      <c r="B23" s="66"/>
      <c r="C23" s="70"/>
      <c r="D23" s="67"/>
      <c r="E23" s="70"/>
      <c r="F23" s="69"/>
      <c r="G23" s="70"/>
      <c r="H23" s="69" t="b">
        <v>0</v>
      </c>
      <c r="I23" s="69" t="b">
        <v>0</v>
      </c>
      <c r="J23" s="70"/>
      <c r="K23" s="70"/>
    </row>
    <row r="24" ht="28.5" customHeight="1">
      <c r="B24" s="91"/>
      <c r="C24" s="81"/>
      <c r="D24" s="92"/>
      <c r="E24" s="81"/>
      <c r="F24" s="80"/>
      <c r="G24" s="81"/>
      <c r="H24" s="80" t="b">
        <v>0</v>
      </c>
      <c r="I24" s="80" t="b">
        <v>0</v>
      </c>
      <c r="J24" s="81"/>
      <c r="K24" s="81"/>
    </row>
    <row r="25" ht="28.5" customHeight="1">
      <c r="B25" s="66"/>
      <c r="C25" s="70"/>
      <c r="D25" s="67"/>
      <c r="E25" s="70"/>
      <c r="F25" s="69"/>
      <c r="G25" s="70"/>
      <c r="H25" s="69" t="b">
        <v>0</v>
      </c>
      <c r="I25" s="69" t="b">
        <v>0</v>
      </c>
      <c r="J25" s="70"/>
      <c r="K25" s="70"/>
    </row>
    <row r="26" ht="28.5" customHeight="1">
      <c r="B26" s="91"/>
      <c r="C26" s="81"/>
      <c r="D26" s="92"/>
      <c r="E26" s="81"/>
      <c r="F26" s="80"/>
      <c r="G26" s="81"/>
      <c r="H26" s="80" t="b">
        <v>0</v>
      </c>
      <c r="I26" s="80" t="b">
        <v>0</v>
      </c>
      <c r="J26" s="81"/>
      <c r="K26" s="81"/>
    </row>
    <row r="27" ht="28.5" customHeight="1">
      <c r="B27" s="66"/>
      <c r="C27" s="70"/>
      <c r="D27" s="67"/>
      <c r="E27" s="70"/>
      <c r="F27" s="69"/>
      <c r="G27" s="70"/>
      <c r="H27" s="69" t="b">
        <v>0</v>
      </c>
      <c r="I27" s="69" t="b">
        <v>0</v>
      </c>
      <c r="J27" s="70"/>
      <c r="K27" s="70"/>
    </row>
    <row r="28" ht="28.5" customHeight="1">
      <c r="B28" s="91"/>
      <c r="C28" s="81"/>
      <c r="D28" s="92"/>
      <c r="E28" s="81"/>
      <c r="F28" s="80"/>
      <c r="G28" s="81"/>
      <c r="H28" s="80" t="b">
        <v>0</v>
      </c>
      <c r="I28" s="80" t="b">
        <v>0</v>
      </c>
      <c r="J28" s="81"/>
      <c r="K28" s="81"/>
    </row>
    <row r="29" ht="28.5" customHeight="1">
      <c r="B29" s="66"/>
      <c r="C29" s="70"/>
      <c r="D29" s="67"/>
      <c r="E29" s="70"/>
      <c r="F29" s="69"/>
      <c r="G29" s="70"/>
      <c r="H29" s="69" t="b">
        <v>0</v>
      </c>
      <c r="I29" s="69" t="b">
        <v>0</v>
      </c>
      <c r="J29" s="70"/>
      <c r="K29" s="70"/>
    </row>
    <row r="30" ht="28.5" customHeight="1">
      <c r="B30" s="91"/>
      <c r="C30" s="81"/>
      <c r="D30" s="92"/>
      <c r="E30" s="81"/>
      <c r="F30" s="80"/>
      <c r="G30" s="81"/>
      <c r="H30" s="80" t="b">
        <v>0</v>
      </c>
      <c r="I30" s="80" t="b">
        <v>0</v>
      </c>
      <c r="J30" s="81"/>
      <c r="K30" s="81"/>
    </row>
    <row r="31" ht="28.5" customHeight="1">
      <c r="B31" s="66"/>
      <c r="C31" s="70"/>
      <c r="D31" s="67"/>
      <c r="E31" s="70"/>
      <c r="F31" s="69"/>
      <c r="G31" s="70"/>
      <c r="H31" s="69" t="b">
        <v>0</v>
      </c>
      <c r="I31" s="69" t="b">
        <v>0</v>
      </c>
      <c r="J31" s="70"/>
      <c r="K31" s="70"/>
    </row>
    <row r="32" ht="28.5" customHeight="1">
      <c r="B32" s="91"/>
      <c r="C32" s="81"/>
      <c r="D32" s="92"/>
      <c r="E32" s="81"/>
      <c r="F32" s="80"/>
      <c r="G32" s="81"/>
      <c r="H32" s="80" t="b">
        <v>0</v>
      </c>
      <c r="I32" s="80" t="b">
        <v>0</v>
      </c>
      <c r="J32" s="81"/>
      <c r="K32" s="81"/>
    </row>
    <row r="33" ht="28.5" customHeight="1">
      <c r="B33" s="66"/>
      <c r="C33" s="70"/>
      <c r="D33" s="67"/>
      <c r="E33" s="70"/>
      <c r="F33" s="69"/>
      <c r="G33" s="70"/>
      <c r="H33" s="69" t="b">
        <v>0</v>
      </c>
      <c r="I33" s="69" t="b">
        <v>0</v>
      </c>
      <c r="J33" s="70"/>
      <c r="K33" s="70"/>
    </row>
    <row r="34" ht="28.5" customHeight="1">
      <c r="B34" s="91"/>
      <c r="C34" s="81"/>
      <c r="D34" s="92"/>
      <c r="E34" s="81"/>
      <c r="F34" s="80"/>
      <c r="G34" s="81"/>
      <c r="H34" s="80" t="b">
        <v>0</v>
      </c>
      <c r="I34" s="80" t="b">
        <v>0</v>
      </c>
      <c r="J34" s="81"/>
      <c r="K34" s="81"/>
    </row>
    <row r="35" ht="28.5" customHeight="1">
      <c r="B35" s="66"/>
      <c r="C35" s="70"/>
      <c r="D35" s="67"/>
      <c r="E35" s="70"/>
      <c r="F35" s="69"/>
      <c r="G35" s="70"/>
      <c r="H35" s="69" t="b">
        <v>0</v>
      </c>
      <c r="I35" s="69" t="b">
        <v>0</v>
      </c>
      <c r="J35" s="70"/>
      <c r="K35" s="70"/>
    </row>
    <row r="36" ht="28.5" customHeight="1">
      <c r="B36" s="91"/>
      <c r="C36" s="81"/>
      <c r="D36" s="92"/>
      <c r="E36" s="81"/>
      <c r="F36" s="80"/>
      <c r="G36" s="81"/>
      <c r="H36" s="80" t="b">
        <v>0</v>
      </c>
      <c r="I36" s="80" t="b">
        <v>0</v>
      </c>
      <c r="J36" s="81"/>
      <c r="K36" s="81"/>
    </row>
    <row r="37" ht="28.5" customHeight="1">
      <c r="B37" s="93"/>
      <c r="C37" s="93"/>
      <c r="D37" s="93"/>
      <c r="E37" s="93"/>
      <c r="F37" s="94"/>
      <c r="G37" s="93"/>
      <c r="H37" s="93"/>
      <c r="I37" s="93"/>
      <c r="J37" s="93"/>
      <c r="K37" s="93"/>
    </row>
    <row r="38" ht="28.5" customHeight="1">
      <c r="B38" s="93"/>
      <c r="C38" s="93"/>
      <c r="D38" s="93"/>
      <c r="E38" s="93"/>
      <c r="F38" s="94"/>
      <c r="G38" s="93"/>
      <c r="H38" s="93"/>
      <c r="I38" s="93"/>
      <c r="J38" s="93"/>
      <c r="K38" s="93"/>
    </row>
    <row r="39" ht="28.5" customHeight="1">
      <c r="B39" s="93"/>
      <c r="C39" s="93"/>
      <c r="D39" s="93"/>
      <c r="E39" s="93"/>
      <c r="F39" s="94"/>
      <c r="G39" s="93"/>
      <c r="H39" s="93"/>
      <c r="I39" s="93"/>
      <c r="J39" s="93"/>
      <c r="K39" s="93"/>
    </row>
    <row r="40" ht="28.5" customHeight="1">
      <c r="B40" s="93"/>
      <c r="C40" s="93"/>
      <c r="D40" s="93"/>
      <c r="E40" s="93"/>
      <c r="F40" s="94"/>
      <c r="G40" s="93"/>
      <c r="H40" s="93"/>
      <c r="I40" s="93"/>
      <c r="J40" s="93"/>
      <c r="K40" s="93"/>
    </row>
    <row r="41" ht="28.5" customHeight="1">
      <c r="B41" s="93"/>
      <c r="C41" s="93"/>
      <c r="D41" s="93"/>
      <c r="E41" s="93"/>
      <c r="F41" s="94"/>
      <c r="G41" s="93"/>
      <c r="H41" s="93"/>
      <c r="I41" s="93"/>
      <c r="J41" s="93"/>
      <c r="K41" s="93"/>
    </row>
    <row r="42" ht="28.5" customHeight="1">
      <c r="B42" s="93"/>
      <c r="C42" s="93"/>
      <c r="D42" s="93"/>
      <c r="E42" s="93"/>
      <c r="F42" s="94"/>
      <c r="G42" s="93"/>
      <c r="H42" s="93"/>
      <c r="I42" s="93"/>
      <c r="J42" s="93"/>
      <c r="K42" s="93"/>
    </row>
    <row r="43" ht="28.5" customHeight="1">
      <c r="B43" s="93"/>
      <c r="C43" s="93"/>
      <c r="D43" s="93"/>
      <c r="E43" s="93"/>
      <c r="F43" s="94"/>
      <c r="G43" s="93"/>
      <c r="H43" s="93"/>
      <c r="I43" s="93"/>
      <c r="J43" s="93"/>
      <c r="K43" s="93"/>
    </row>
    <row r="44" ht="28.5" customHeight="1">
      <c r="B44" s="93"/>
      <c r="C44" s="93"/>
      <c r="D44" s="93"/>
      <c r="E44" s="93"/>
      <c r="F44" s="94"/>
      <c r="G44" s="93"/>
      <c r="H44" s="93"/>
      <c r="I44" s="93"/>
      <c r="J44" s="93"/>
      <c r="K44" s="93"/>
    </row>
    <row r="45" ht="28.5" customHeight="1">
      <c r="B45" s="93"/>
      <c r="C45" s="93"/>
      <c r="D45" s="93"/>
      <c r="E45" s="93"/>
      <c r="F45" s="94"/>
      <c r="G45" s="93"/>
      <c r="H45" s="93"/>
      <c r="I45" s="93"/>
      <c r="J45" s="93"/>
      <c r="K45" s="93"/>
    </row>
    <row r="46" ht="28.5" customHeight="1">
      <c r="B46" s="93"/>
      <c r="C46" s="93"/>
      <c r="D46" s="93"/>
      <c r="E46" s="93"/>
      <c r="F46" s="94"/>
      <c r="G46" s="93"/>
      <c r="H46" s="93"/>
      <c r="I46" s="93"/>
      <c r="J46" s="93"/>
      <c r="K46" s="93"/>
    </row>
    <row r="47" ht="28.5" customHeight="1">
      <c r="B47" s="93"/>
      <c r="C47" s="93"/>
      <c r="D47" s="93"/>
      <c r="E47" s="93"/>
      <c r="F47" s="94"/>
      <c r="G47" s="93"/>
      <c r="H47" s="93"/>
      <c r="I47" s="93"/>
      <c r="J47" s="93"/>
      <c r="K47" s="93"/>
    </row>
    <row r="48" ht="28.5" customHeight="1">
      <c r="B48" s="93"/>
      <c r="C48" s="93"/>
      <c r="D48" s="93"/>
      <c r="E48" s="93"/>
      <c r="F48" s="94"/>
      <c r="G48" s="93"/>
      <c r="H48" s="93"/>
      <c r="I48" s="93"/>
      <c r="J48" s="93"/>
      <c r="K48" s="93"/>
    </row>
    <row r="49" ht="28.5" customHeight="1">
      <c r="B49" s="93"/>
      <c r="C49" s="93"/>
      <c r="D49" s="93"/>
      <c r="E49" s="93"/>
      <c r="F49" s="94"/>
      <c r="G49" s="93"/>
      <c r="H49" s="93"/>
      <c r="I49" s="93"/>
      <c r="J49" s="93"/>
      <c r="K49" s="93"/>
    </row>
    <row r="50" ht="28.5" customHeight="1">
      <c r="B50" s="93"/>
      <c r="C50" s="93"/>
      <c r="D50" s="93"/>
      <c r="E50" s="93"/>
      <c r="F50" s="94"/>
      <c r="G50" s="93"/>
      <c r="H50" s="93"/>
      <c r="I50" s="93"/>
      <c r="J50" s="93"/>
      <c r="K50" s="93"/>
    </row>
    <row r="51" ht="28.5" customHeight="1">
      <c r="B51" s="93"/>
      <c r="C51" s="93"/>
      <c r="D51" s="93"/>
      <c r="E51" s="93"/>
      <c r="F51" s="94"/>
      <c r="G51" s="93"/>
      <c r="H51" s="93"/>
      <c r="I51" s="93"/>
      <c r="J51" s="93"/>
      <c r="K51" s="93"/>
    </row>
    <row r="52" ht="28.5" customHeight="1">
      <c r="B52" s="93"/>
      <c r="C52" s="93"/>
      <c r="D52" s="93"/>
      <c r="E52" s="93"/>
      <c r="F52" s="94"/>
      <c r="G52" s="93"/>
      <c r="H52" s="93"/>
      <c r="I52" s="93"/>
      <c r="J52" s="93"/>
      <c r="K52" s="93"/>
    </row>
    <row r="53" ht="28.5" customHeight="1">
      <c r="B53" s="93"/>
      <c r="C53" s="93"/>
      <c r="D53" s="93"/>
      <c r="E53" s="93"/>
      <c r="F53" s="94"/>
      <c r="G53" s="93"/>
      <c r="H53" s="93"/>
      <c r="I53" s="93"/>
      <c r="J53" s="93"/>
      <c r="K53" s="93"/>
    </row>
    <row r="54" ht="28.5" customHeight="1">
      <c r="F54" s="94"/>
    </row>
    <row r="55" ht="28.5" customHeight="1">
      <c r="F55" s="94"/>
    </row>
    <row r="56" ht="28.5" customHeight="1">
      <c r="F56" s="94"/>
    </row>
    <row r="57" ht="28.5" customHeight="1">
      <c r="F57" s="94"/>
    </row>
    <row r="58" ht="28.5" customHeight="1">
      <c r="F58" s="94"/>
    </row>
    <row r="59" ht="28.5" customHeight="1">
      <c r="F59" s="94"/>
    </row>
    <row r="60" ht="28.5" customHeight="1">
      <c r="F60" s="94"/>
    </row>
    <row r="61" ht="28.5" customHeight="1">
      <c r="F61" s="94"/>
    </row>
    <row r="62" ht="28.5" customHeight="1">
      <c r="F62" s="94"/>
    </row>
    <row r="63" ht="28.5" customHeight="1">
      <c r="F63" s="94"/>
    </row>
    <row r="64" ht="28.5" customHeight="1">
      <c r="F64" s="94"/>
    </row>
    <row r="65" ht="28.5" customHeight="1">
      <c r="F65" s="94"/>
    </row>
    <row r="66" ht="28.5" customHeight="1">
      <c r="F66" s="94"/>
    </row>
    <row r="67" ht="28.5" customHeight="1">
      <c r="F67" s="94"/>
    </row>
    <row r="68" ht="28.5" customHeight="1">
      <c r="F68" s="94"/>
    </row>
    <row r="69" ht="28.5" customHeight="1">
      <c r="F69" s="94"/>
    </row>
    <row r="70" ht="28.5" customHeight="1">
      <c r="F70" s="94"/>
    </row>
    <row r="71" ht="28.5" customHeight="1">
      <c r="F71" s="94"/>
    </row>
    <row r="72" ht="28.5" customHeight="1">
      <c r="F72" s="94"/>
    </row>
    <row r="73" ht="28.5" customHeight="1">
      <c r="F73" s="94"/>
    </row>
    <row r="74" ht="28.5" customHeight="1">
      <c r="F74" s="94"/>
    </row>
    <row r="75" ht="28.5" customHeight="1">
      <c r="F75" s="94"/>
    </row>
    <row r="76" ht="28.5" customHeight="1">
      <c r="F76" s="94"/>
    </row>
    <row r="77" ht="28.5" customHeight="1">
      <c r="F77" s="94"/>
    </row>
    <row r="78" ht="28.5" customHeight="1">
      <c r="F78" s="94"/>
    </row>
    <row r="79" ht="28.5" customHeight="1">
      <c r="F79" s="94"/>
    </row>
    <row r="80" ht="28.5" customHeight="1">
      <c r="F80" s="94"/>
    </row>
    <row r="81" ht="28.5" customHeight="1">
      <c r="F81" s="94"/>
    </row>
    <row r="82" ht="28.5" customHeight="1">
      <c r="F82" s="94"/>
    </row>
    <row r="83" ht="28.5" customHeight="1">
      <c r="F83" s="94"/>
    </row>
    <row r="84" ht="28.5" customHeight="1">
      <c r="F84" s="94"/>
    </row>
    <row r="85" ht="28.5" customHeight="1">
      <c r="F85" s="94"/>
    </row>
    <row r="86" ht="28.5" customHeight="1">
      <c r="F86" s="94"/>
    </row>
    <row r="87" ht="28.5" customHeight="1">
      <c r="F87" s="94"/>
    </row>
    <row r="88" ht="28.5" customHeight="1">
      <c r="F88" s="94"/>
    </row>
    <row r="89" ht="28.5" customHeight="1">
      <c r="F89" s="94"/>
    </row>
    <row r="90" ht="28.5" customHeight="1">
      <c r="F90" s="94"/>
    </row>
    <row r="91" ht="28.5" customHeight="1">
      <c r="F91" s="94"/>
    </row>
    <row r="92" ht="28.5" customHeight="1">
      <c r="F92" s="94"/>
    </row>
    <row r="93" ht="28.5" customHeight="1">
      <c r="F93" s="94"/>
    </row>
    <row r="94" ht="28.5" customHeight="1">
      <c r="F94" s="94"/>
    </row>
    <row r="95" ht="28.5" customHeight="1">
      <c r="F95" s="94"/>
    </row>
    <row r="96" ht="28.5" customHeight="1">
      <c r="F96" s="94"/>
    </row>
    <row r="97" ht="28.5" customHeight="1">
      <c r="F97" s="94"/>
    </row>
    <row r="98" ht="28.5" customHeight="1">
      <c r="F98" s="94"/>
    </row>
    <row r="99" ht="28.5" customHeight="1">
      <c r="F99" s="94"/>
    </row>
    <row r="100" ht="28.5" customHeight="1">
      <c r="F100" s="94"/>
    </row>
    <row r="101" ht="28.5" customHeight="1">
      <c r="F101" s="94"/>
    </row>
    <row r="102" ht="28.5" customHeight="1">
      <c r="F102" s="94"/>
    </row>
    <row r="103" ht="28.5" customHeight="1">
      <c r="F103" s="94"/>
    </row>
    <row r="104" ht="28.5" customHeight="1">
      <c r="F104" s="94"/>
    </row>
    <row r="105" ht="28.5" customHeight="1">
      <c r="F105" s="94"/>
    </row>
    <row r="106" ht="28.5" customHeight="1">
      <c r="F106" s="94"/>
    </row>
    <row r="107" ht="28.5" customHeight="1">
      <c r="F107" s="94"/>
    </row>
    <row r="108" ht="28.5" customHeight="1">
      <c r="F108" s="94"/>
    </row>
    <row r="109" ht="28.5" customHeight="1">
      <c r="F109" s="94"/>
    </row>
    <row r="110" ht="28.5" customHeight="1">
      <c r="F110" s="94"/>
    </row>
    <row r="111" ht="28.5" customHeight="1">
      <c r="F111" s="94"/>
    </row>
    <row r="112" ht="28.5" customHeight="1">
      <c r="F112" s="94"/>
    </row>
    <row r="113" ht="28.5" customHeight="1">
      <c r="F113" s="94"/>
    </row>
    <row r="114" ht="28.5" customHeight="1">
      <c r="F114" s="94"/>
    </row>
    <row r="115" ht="28.5" customHeight="1">
      <c r="F115" s="94"/>
    </row>
    <row r="116" ht="28.5" customHeight="1">
      <c r="F116" s="94"/>
    </row>
    <row r="117" ht="28.5" customHeight="1">
      <c r="F117" s="94"/>
    </row>
    <row r="118" ht="28.5" customHeight="1">
      <c r="F118" s="94"/>
    </row>
    <row r="119" ht="28.5" customHeight="1">
      <c r="F119" s="94"/>
    </row>
    <row r="120" ht="28.5" customHeight="1">
      <c r="F120" s="94"/>
    </row>
    <row r="121" ht="28.5" customHeight="1">
      <c r="F121" s="94"/>
    </row>
    <row r="122" ht="28.5" customHeight="1">
      <c r="F122" s="94"/>
    </row>
    <row r="123" ht="28.5" customHeight="1">
      <c r="F123" s="94"/>
    </row>
    <row r="124" ht="28.5" customHeight="1">
      <c r="F124" s="94"/>
    </row>
    <row r="125" ht="28.5" customHeight="1">
      <c r="F125" s="94"/>
    </row>
    <row r="126" ht="28.5" customHeight="1">
      <c r="F126" s="94"/>
    </row>
    <row r="127" ht="28.5" customHeight="1">
      <c r="F127" s="94"/>
    </row>
    <row r="128" ht="28.5" customHeight="1">
      <c r="F128" s="94"/>
    </row>
    <row r="129" ht="28.5" customHeight="1">
      <c r="F129" s="94"/>
    </row>
    <row r="130" ht="28.5" customHeight="1">
      <c r="F130" s="94"/>
    </row>
    <row r="131" ht="28.5" customHeight="1">
      <c r="F131" s="94"/>
    </row>
    <row r="132" ht="28.5" customHeight="1">
      <c r="F132" s="94"/>
    </row>
    <row r="133" ht="28.5" customHeight="1">
      <c r="F133" s="94"/>
    </row>
    <row r="134" ht="28.5" customHeight="1">
      <c r="F134" s="94"/>
    </row>
    <row r="135" ht="28.5" customHeight="1">
      <c r="F135" s="94"/>
    </row>
    <row r="136" ht="28.5" customHeight="1">
      <c r="F136" s="94"/>
    </row>
    <row r="137" ht="28.5" customHeight="1">
      <c r="F137" s="94"/>
    </row>
    <row r="138" ht="28.5" customHeight="1">
      <c r="F138" s="94"/>
    </row>
    <row r="139" ht="28.5" customHeight="1">
      <c r="F139" s="94"/>
    </row>
    <row r="140" ht="28.5" customHeight="1">
      <c r="F140" s="94"/>
    </row>
    <row r="141" ht="28.5" customHeight="1">
      <c r="F141" s="94"/>
    </row>
    <row r="142" ht="28.5" customHeight="1">
      <c r="F142" s="94"/>
    </row>
    <row r="143" ht="28.5" customHeight="1">
      <c r="F143" s="94"/>
    </row>
    <row r="144" ht="28.5" customHeight="1">
      <c r="F144" s="94"/>
    </row>
    <row r="145" ht="28.5" customHeight="1">
      <c r="F145" s="94"/>
    </row>
    <row r="146" ht="28.5" customHeight="1">
      <c r="F146" s="94"/>
    </row>
    <row r="147" ht="28.5" customHeight="1">
      <c r="F147" s="94"/>
    </row>
    <row r="148" ht="28.5" customHeight="1">
      <c r="F148" s="94"/>
    </row>
    <row r="149" ht="28.5" customHeight="1">
      <c r="F149" s="94"/>
    </row>
    <row r="150" ht="28.5" customHeight="1">
      <c r="F150" s="94"/>
    </row>
    <row r="151" ht="28.5" customHeight="1">
      <c r="F151" s="94"/>
    </row>
    <row r="152" ht="28.5" customHeight="1">
      <c r="F152" s="94"/>
    </row>
    <row r="153" ht="28.5" customHeight="1">
      <c r="F153" s="94"/>
    </row>
    <row r="154" ht="28.5" customHeight="1">
      <c r="F154" s="94"/>
    </row>
    <row r="155" ht="28.5" customHeight="1">
      <c r="F155" s="94"/>
    </row>
    <row r="156" ht="28.5" customHeight="1">
      <c r="F156" s="94"/>
    </row>
    <row r="157" ht="28.5" customHeight="1">
      <c r="F157" s="94"/>
    </row>
    <row r="158" ht="28.5" customHeight="1">
      <c r="F158" s="94"/>
    </row>
    <row r="159" ht="28.5" customHeight="1">
      <c r="F159" s="94"/>
    </row>
    <row r="160" ht="28.5" customHeight="1">
      <c r="F160" s="94"/>
    </row>
    <row r="161" ht="28.5" customHeight="1">
      <c r="F161" s="94"/>
    </row>
    <row r="162" ht="28.5" customHeight="1">
      <c r="F162" s="94"/>
    </row>
    <row r="163" ht="28.5" customHeight="1">
      <c r="F163" s="94"/>
    </row>
    <row r="164" ht="28.5" customHeight="1">
      <c r="F164" s="94"/>
    </row>
    <row r="165" ht="28.5" customHeight="1">
      <c r="F165" s="94"/>
    </row>
    <row r="166" ht="28.5" customHeight="1">
      <c r="F166" s="94"/>
    </row>
    <row r="167" ht="28.5" customHeight="1">
      <c r="F167" s="94"/>
    </row>
    <row r="168" ht="28.5" customHeight="1">
      <c r="F168" s="94"/>
    </row>
    <row r="169" ht="28.5" customHeight="1">
      <c r="F169" s="94"/>
    </row>
    <row r="170" ht="28.5" customHeight="1">
      <c r="F170" s="94"/>
    </row>
    <row r="171" ht="28.5" customHeight="1">
      <c r="F171" s="94"/>
    </row>
    <row r="172" ht="28.5" customHeight="1">
      <c r="F172" s="94"/>
    </row>
    <row r="173" ht="28.5" customHeight="1">
      <c r="F173" s="94"/>
    </row>
    <row r="174" ht="28.5" customHeight="1">
      <c r="F174" s="94"/>
    </row>
    <row r="175" ht="28.5" customHeight="1">
      <c r="F175" s="94"/>
    </row>
    <row r="176" ht="28.5" customHeight="1">
      <c r="F176" s="94"/>
    </row>
    <row r="177" ht="28.5" customHeight="1">
      <c r="F177" s="94"/>
    </row>
    <row r="178" ht="28.5" customHeight="1">
      <c r="F178" s="94"/>
    </row>
    <row r="179" ht="28.5" customHeight="1">
      <c r="F179" s="94"/>
    </row>
    <row r="180" ht="28.5" customHeight="1">
      <c r="F180" s="94"/>
    </row>
    <row r="181" ht="28.5" customHeight="1">
      <c r="F181" s="94"/>
    </row>
    <row r="182" ht="28.5" customHeight="1">
      <c r="F182" s="94"/>
    </row>
    <row r="183" ht="28.5" customHeight="1">
      <c r="F183" s="94"/>
    </row>
    <row r="184" ht="28.5" customHeight="1">
      <c r="F184" s="94"/>
    </row>
    <row r="185" ht="28.5" customHeight="1">
      <c r="F185" s="94"/>
    </row>
    <row r="186" ht="28.5" customHeight="1">
      <c r="F186" s="94"/>
    </row>
    <row r="187" ht="28.5" customHeight="1">
      <c r="F187" s="94"/>
    </row>
    <row r="188" ht="28.5" customHeight="1">
      <c r="F188" s="94"/>
    </row>
    <row r="189" ht="28.5" customHeight="1">
      <c r="F189" s="94"/>
    </row>
    <row r="190" ht="28.5" customHeight="1">
      <c r="F190" s="94"/>
    </row>
    <row r="191" ht="28.5" customHeight="1">
      <c r="F191" s="94"/>
    </row>
    <row r="192" ht="28.5" customHeight="1">
      <c r="F192" s="94"/>
    </row>
    <row r="193" ht="28.5" customHeight="1">
      <c r="F193" s="94"/>
    </row>
    <row r="194" ht="28.5" customHeight="1">
      <c r="F194" s="94"/>
    </row>
    <row r="195" ht="28.5" customHeight="1">
      <c r="F195" s="94"/>
    </row>
    <row r="196" ht="28.5" customHeight="1">
      <c r="F196" s="94"/>
    </row>
    <row r="197" ht="28.5" customHeight="1">
      <c r="F197" s="94"/>
    </row>
    <row r="198" ht="28.5" customHeight="1">
      <c r="F198" s="94"/>
    </row>
    <row r="199" ht="28.5" customHeight="1">
      <c r="F199" s="94"/>
    </row>
    <row r="200" ht="28.5" customHeight="1">
      <c r="F200" s="94"/>
    </row>
    <row r="201" ht="28.5" customHeight="1">
      <c r="F201" s="94"/>
    </row>
    <row r="202" ht="28.5" customHeight="1">
      <c r="F202" s="94"/>
    </row>
    <row r="203" ht="28.5" customHeight="1">
      <c r="F203" s="94"/>
    </row>
    <row r="204" ht="28.5" customHeight="1">
      <c r="F204" s="94"/>
    </row>
    <row r="205" ht="28.5" customHeight="1">
      <c r="F205" s="94"/>
    </row>
    <row r="206" ht="28.5" customHeight="1">
      <c r="F206" s="94"/>
    </row>
    <row r="207" ht="28.5" customHeight="1">
      <c r="F207" s="94"/>
    </row>
    <row r="208" ht="28.5" customHeight="1">
      <c r="F208" s="94"/>
    </row>
    <row r="209" ht="28.5" customHeight="1">
      <c r="F209" s="94"/>
    </row>
    <row r="210" ht="28.5" customHeight="1">
      <c r="F210" s="94"/>
    </row>
    <row r="211" ht="28.5" customHeight="1">
      <c r="F211" s="94"/>
    </row>
    <row r="212" ht="28.5" customHeight="1">
      <c r="F212" s="94"/>
    </row>
    <row r="213" ht="28.5" customHeight="1">
      <c r="F213" s="94"/>
    </row>
    <row r="214" ht="28.5" customHeight="1">
      <c r="F214" s="94"/>
    </row>
    <row r="215" ht="28.5" customHeight="1">
      <c r="F215" s="94"/>
    </row>
    <row r="216" ht="28.5" customHeight="1">
      <c r="F216" s="94"/>
    </row>
    <row r="217" ht="28.5" customHeight="1">
      <c r="F217" s="94"/>
    </row>
    <row r="218" ht="28.5" customHeight="1">
      <c r="F218" s="94"/>
    </row>
    <row r="219" ht="28.5" customHeight="1">
      <c r="F219" s="94"/>
    </row>
    <row r="220" ht="28.5" customHeight="1">
      <c r="F220" s="94"/>
    </row>
    <row r="221" ht="28.5" customHeight="1">
      <c r="F221" s="94"/>
    </row>
    <row r="222" ht="28.5" customHeight="1">
      <c r="F222" s="94"/>
    </row>
    <row r="223" ht="28.5" customHeight="1">
      <c r="F223" s="94"/>
    </row>
    <row r="224" ht="28.5" customHeight="1">
      <c r="F224" s="94"/>
    </row>
    <row r="225" ht="28.5" customHeight="1">
      <c r="F225" s="94"/>
    </row>
    <row r="226" ht="28.5" customHeight="1">
      <c r="F226" s="94"/>
    </row>
    <row r="227" ht="28.5" customHeight="1">
      <c r="F227" s="94"/>
    </row>
    <row r="228" ht="28.5" customHeight="1">
      <c r="F228" s="94"/>
    </row>
    <row r="229" ht="28.5" customHeight="1">
      <c r="F229" s="94"/>
    </row>
    <row r="230" ht="28.5" customHeight="1">
      <c r="F230" s="94"/>
    </row>
    <row r="231" ht="28.5" customHeight="1">
      <c r="F231" s="94"/>
    </row>
    <row r="232" ht="28.5" customHeight="1">
      <c r="F232" s="94"/>
    </row>
    <row r="233" ht="28.5" customHeight="1">
      <c r="F233" s="94"/>
    </row>
    <row r="234" ht="28.5" customHeight="1">
      <c r="F234" s="94"/>
    </row>
    <row r="235" ht="28.5" customHeight="1">
      <c r="F235" s="94"/>
    </row>
    <row r="236" ht="28.5" customHeight="1">
      <c r="F236" s="9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Y$36"/>
  <mergeCells count="1">
    <mergeCell ref="B1:K1"/>
  </mergeCells>
  <dataValidations>
    <dataValidation type="list" allowBlank="1" showErrorMessage="1" sqref="J3:J36">
      <formula1>"OUI,NON,En Attente BE"</formula1>
    </dataValidation>
    <dataValidation type="list" allowBlank="1" showErrorMessage="1" sqref="G3:G36">
      <formula1>"OUI,NON"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12.63"/>
    <col customWidth="1" min="3" max="3" width="10.13"/>
    <col customWidth="1" min="4" max="6" width="19.63"/>
    <col customWidth="1" min="7" max="7" width="15.63"/>
    <col customWidth="1" min="8" max="9" width="19.63"/>
  </cols>
  <sheetData>
    <row r="1" ht="42.75" customHeight="1">
      <c r="D1" s="1" t="s">
        <v>128</v>
      </c>
    </row>
    <row r="2" ht="28.5" customHeight="1">
      <c r="D2" s="2" t="s">
        <v>15</v>
      </c>
      <c r="E2" s="2" t="s">
        <v>129</v>
      </c>
      <c r="F2" s="2" t="s">
        <v>5</v>
      </c>
      <c r="G2" s="2" t="s">
        <v>130</v>
      </c>
      <c r="H2" s="2" t="s">
        <v>131</v>
      </c>
      <c r="I2" s="2" t="s">
        <v>11</v>
      </c>
    </row>
    <row r="3" ht="28.5" hidden="1" customHeight="1">
      <c r="D3" s="49" t="s">
        <v>132</v>
      </c>
      <c r="E3" s="95">
        <v>45937.0</v>
      </c>
      <c r="F3" s="96">
        <v>13100.0</v>
      </c>
      <c r="G3" s="97" t="s">
        <v>133</v>
      </c>
      <c r="H3" s="54">
        <v>46041.0</v>
      </c>
      <c r="I3" s="98" t="s">
        <v>134</v>
      </c>
      <c r="J3" s="12"/>
    </row>
    <row r="4" ht="28.5" hidden="1" customHeight="1">
      <c r="D4" s="91" t="s">
        <v>135</v>
      </c>
      <c r="E4" s="99">
        <v>45964.0</v>
      </c>
      <c r="F4" s="100">
        <v>-788.96</v>
      </c>
      <c r="G4" s="101" t="s">
        <v>133</v>
      </c>
      <c r="H4" s="23">
        <v>46041.0</v>
      </c>
      <c r="I4" s="102"/>
      <c r="J4" s="12"/>
    </row>
    <row r="5" ht="28.5" hidden="1" customHeight="1">
      <c r="D5" s="86" t="s">
        <v>136</v>
      </c>
      <c r="E5" s="103">
        <v>45967.0</v>
      </c>
      <c r="F5" s="104">
        <v>-200.0</v>
      </c>
      <c r="G5" s="105" t="s">
        <v>133</v>
      </c>
      <c r="H5" s="106">
        <v>46041.0</v>
      </c>
      <c r="I5" s="107"/>
      <c r="J5" s="12"/>
    </row>
    <row r="6" ht="28.5" hidden="1" customHeight="1">
      <c r="D6" s="108" t="s">
        <v>137</v>
      </c>
      <c r="E6" s="109">
        <v>46037.0</v>
      </c>
      <c r="F6" s="110">
        <v>2840.0</v>
      </c>
      <c r="G6" s="111" t="s">
        <v>133</v>
      </c>
      <c r="H6" s="112">
        <v>46125.0</v>
      </c>
      <c r="I6" s="113"/>
      <c r="J6" s="12"/>
    </row>
    <row r="7" ht="28.5" hidden="1" customHeight="1">
      <c r="D7" s="114" t="s">
        <v>138</v>
      </c>
      <c r="E7" s="95">
        <v>46037.0</v>
      </c>
      <c r="F7" s="96">
        <v>4800.0</v>
      </c>
      <c r="G7" s="115" t="s">
        <v>133</v>
      </c>
      <c r="H7" s="95">
        <v>46150.0</v>
      </c>
      <c r="I7" s="116"/>
      <c r="J7" s="93"/>
    </row>
    <row r="8" ht="28.5" hidden="1" customHeight="1">
      <c r="D8" s="53" t="s">
        <v>139</v>
      </c>
      <c r="E8" s="112">
        <v>46037.0</v>
      </c>
      <c r="F8" s="28">
        <v>3070.0</v>
      </c>
      <c r="G8" s="111" t="s">
        <v>133</v>
      </c>
      <c r="H8" s="112">
        <v>46048.0</v>
      </c>
      <c r="I8" s="117"/>
      <c r="J8" s="93"/>
    </row>
    <row r="9" ht="28.5" hidden="1" customHeight="1">
      <c r="D9" s="114" t="s">
        <v>140</v>
      </c>
      <c r="E9" s="95">
        <v>46037.0</v>
      </c>
      <c r="F9" s="96">
        <v>4270.0</v>
      </c>
      <c r="G9" s="115" t="s">
        <v>133</v>
      </c>
      <c r="H9" s="95">
        <v>46125.0</v>
      </c>
      <c r="I9" s="116"/>
      <c r="J9" s="93"/>
    </row>
    <row r="10" ht="28.5" hidden="1" customHeight="1">
      <c r="D10" s="53" t="s">
        <v>141</v>
      </c>
      <c r="E10" s="112">
        <v>46037.0</v>
      </c>
      <c r="F10" s="28">
        <v>4465.0</v>
      </c>
      <c r="G10" s="111" t="s">
        <v>133</v>
      </c>
      <c r="H10" s="112">
        <v>46125.0</v>
      </c>
      <c r="I10" s="117"/>
      <c r="J10" s="93"/>
    </row>
    <row r="11" ht="28.5" hidden="1" customHeight="1">
      <c r="D11" s="114" t="s">
        <v>142</v>
      </c>
      <c r="E11" s="95">
        <v>46037.0</v>
      </c>
      <c r="F11" s="96">
        <v>2750.0</v>
      </c>
      <c r="G11" s="115" t="s">
        <v>133</v>
      </c>
      <c r="H11" s="95">
        <v>46125.0</v>
      </c>
      <c r="I11" s="116"/>
      <c r="J11" s="93"/>
    </row>
    <row r="12" ht="28.5" hidden="1" customHeight="1">
      <c r="D12" s="53" t="s">
        <v>143</v>
      </c>
      <c r="E12" s="112">
        <v>46037.0</v>
      </c>
      <c r="F12" s="28">
        <v>4150.0</v>
      </c>
      <c r="G12" s="111" t="s">
        <v>133</v>
      </c>
      <c r="H12" s="112">
        <v>46125.0</v>
      </c>
      <c r="I12" s="117"/>
      <c r="J12" s="93"/>
    </row>
    <row r="13" ht="28.5" hidden="1" customHeight="1">
      <c r="D13" s="114" t="s">
        <v>144</v>
      </c>
      <c r="E13" s="95">
        <v>46037.0</v>
      </c>
      <c r="F13" s="96">
        <v>3650.0</v>
      </c>
      <c r="G13" s="115" t="s">
        <v>133</v>
      </c>
      <c r="H13" s="95">
        <v>46150.0</v>
      </c>
      <c r="I13" s="116"/>
      <c r="J13" s="93"/>
    </row>
    <row r="14" ht="28.5" hidden="1" customHeight="1">
      <c r="D14" s="53" t="s">
        <v>145</v>
      </c>
      <c r="E14" s="112">
        <v>46037.0</v>
      </c>
      <c r="F14" s="28">
        <v>3500.0</v>
      </c>
      <c r="G14" s="111" t="s">
        <v>133</v>
      </c>
      <c r="H14" s="112">
        <v>46104.0</v>
      </c>
      <c r="I14" s="117"/>
      <c r="J14" s="93"/>
    </row>
    <row r="15" ht="28.5" hidden="1" customHeight="1">
      <c r="D15" s="114" t="s">
        <v>146</v>
      </c>
      <c r="E15" s="95">
        <v>46037.0</v>
      </c>
      <c r="F15" s="96">
        <v>3600.0</v>
      </c>
      <c r="G15" s="115" t="s">
        <v>133</v>
      </c>
      <c r="H15" s="95">
        <v>46150.0</v>
      </c>
      <c r="I15" s="116"/>
      <c r="J15" s="93"/>
    </row>
    <row r="16" ht="28.5" hidden="1" customHeight="1">
      <c r="D16" s="53" t="s">
        <v>147</v>
      </c>
      <c r="E16" s="112">
        <v>46037.0</v>
      </c>
      <c r="F16" s="28">
        <v>3060.0</v>
      </c>
      <c r="G16" s="111" t="s">
        <v>133</v>
      </c>
      <c r="H16" s="112">
        <v>46125.0</v>
      </c>
      <c r="I16" s="117"/>
      <c r="J16" s="93"/>
    </row>
    <row r="17" ht="28.5" hidden="1" customHeight="1">
      <c r="D17" s="114" t="s">
        <v>148</v>
      </c>
      <c r="E17" s="95">
        <v>46037.0</v>
      </c>
      <c r="F17" s="96">
        <v>3660.0</v>
      </c>
      <c r="G17" s="115" t="s">
        <v>133</v>
      </c>
      <c r="H17" s="95">
        <v>46125.0</v>
      </c>
      <c r="I17" s="116"/>
      <c r="J17" s="93"/>
    </row>
    <row r="18" ht="28.5" hidden="1" customHeight="1">
      <c r="D18" s="53" t="s">
        <v>149</v>
      </c>
      <c r="E18" s="112">
        <v>46037.0</v>
      </c>
      <c r="F18" s="28">
        <v>3435.0</v>
      </c>
      <c r="G18" s="111" t="s">
        <v>133</v>
      </c>
      <c r="H18" s="112">
        <v>46125.0</v>
      </c>
      <c r="I18" s="117"/>
      <c r="J18" s="93"/>
    </row>
    <row r="19" ht="28.5" hidden="1" customHeight="1">
      <c r="D19" s="114" t="s">
        <v>150</v>
      </c>
      <c r="E19" s="95">
        <v>46064.0</v>
      </c>
      <c r="F19" s="96">
        <v>3914.66</v>
      </c>
      <c r="G19" s="115" t="s">
        <v>133</v>
      </c>
      <c r="H19" s="95">
        <v>46150.0</v>
      </c>
      <c r="I19" s="116"/>
      <c r="J19" s="93"/>
    </row>
    <row r="20" ht="28.5" hidden="1" customHeight="1">
      <c r="D20" s="53" t="s">
        <v>151</v>
      </c>
      <c r="E20" s="112">
        <v>46064.0</v>
      </c>
      <c r="F20" s="28">
        <v>3355.0</v>
      </c>
      <c r="G20" s="111" t="s">
        <v>133</v>
      </c>
      <c r="H20" s="112">
        <v>46142.0</v>
      </c>
      <c r="I20" s="117"/>
      <c r="J20" s="93"/>
    </row>
    <row r="21" ht="28.5" hidden="1" customHeight="1">
      <c r="D21" s="114" t="s">
        <v>152</v>
      </c>
      <c r="E21" s="95">
        <v>46064.0</v>
      </c>
      <c r="F21" s="96">
        <v>4260.0</v>
      </c>
      <c r="G21" s="115" t="s">
        <v>133</v>
      </c>
      <c r="H21" s="95">
        <v>46150.0</v>
      </c>
      <c r="I21" s="116"/>
      <c r="J21" s="93"/>
    </row>
    <row r="22" ht="28.5" hidden="1" customHeight="1">
      <c r="D22" s="53" t="s">
        <v>153</v>
      </c>
      <c r="E22" s="112">
        <v>46064.0</v>
      </c>
      <c r="F22" s="28">
        <v>4360.0</v>
      </c>
      <c r="G22" s="111" t="s">
        <v>133</v>
      </c>
      <c r="H22" s="112">
        <v>46132.0</v>
      </c>
      <c r="I22" s="117"/>
      <c r="J22" s="93"/>
    </row>
    <row r="23" ht="28.5" hidden="1" customHeight="1">
      <c r="D23" s="118" t="s">
        <v>154</v>
      </c>
      <c r="E23" s="119">
        <v>46064.0</v>
      </c>
      <c r="F23" s="120">
        <v>4255.0</v>
      </c>
      <c r="G23" s="121" t="s">
        <v>133</v>
      </c>
      <c r="H23" s="119"/>
      <c r="I23" s="122"/>
      <c r="J23" s="93"/>
    </row>
    <row r="24" ht="28.5" hidden="1" customHeight="1">
      <c r="D24" s="123" t="s">
        <v>19</v>
      </c>
      <c r="E24" s="124">
        <v>46064.0</v>
      </c>
      <c r="F24" s="125">
        <v>2300.0</v>
      </c>
      <c r="G24" s="126" t="s">
        <v>133</v>
      </c>
      <c r="H24" s="124">
        <v>46119.0</v>
      </c>
      <c r="I24" s="127"/>
      <c r="J24" s="93"/>
    </row>
    <row r="25" ht="28.5" hidden="1" customHeight="1">
      <c r="D25" s="114" t="s">
        <v>27</v>
      </c>
      <c r="E25" s="95">
        <v>46064.0</v>
      </c>
      <c r="F25" s="96">
        <v>3555.0</v>
      </c>
      <c r="G25" s="115" t="s">
        <v>133</v>
      </c>
      <c r="H25" s="95">
        <v>46125.0</v>
      </c>
      <c r="I25" s="128"/>
      <c r="J25" s="93"/>
    </row>
    <row r="26" ht="28.5" hidden="1" customHeight="1">
      <c r="D26" s="53" t="s">
        <v>155</v>
      </c>
      <c r="E26" s="112">
        <v>46090.0</v>
      </c>
      <c r="F26" s="28">
        <v>2980.0</v>
      </c>
      <c r="G26" s="111" t="s">
        <v>133</v>
      </c>
      <c r="H26" s="112"/>
      <c r="I26" s="117"/>
      <c r="J26" s="93"/>
    </row>
    <row r="27" ht="28.5" hidden="1" customHeight="1">
      <c r="D27" s="114" t="s">
        <v>156</v>
      </c>
      <c r="E27" s="95">
        <v>46090.0</v>
      </c>
      <c r="F27" s="96">
        <v>3100.0</v>
      </c>
      <c r="G27" s="115" t="s">
        <v>133</v>
      </c>
      <c r="H27" s="95">
        <v>46119.0</v>
      </c>
      <c r="I27" s="116"/>
      <c r="J27" s="93"/>
    </row>
    <row r="28" ht="28.5" hidden="1" customHeight="1">
      <c r="D28" s="53" t="s">
        <v>157</v>
      </c>
      <c r="E28" s="112">
        <v>46090.0</v>
      </c>
      <c r="F28" s="28">
        <v>3100.0</v>
      </c>
      <c r="G28" s="111" t="s">
        <v>133</v>
      </c>
      <c r="H28" s="112">
        <v>46125.0</v>
      </c>
      <c r="I28" s="117"/>
      <c r="J28" s="93"/>
    </row>
    <row r="29" ht="28.5" hidden="1" customHeight="1">
      <c r="D29" s="114" t="s">
        <v>158</v>
      </c>
      <c r="E29" s="95">
        <v>46090.0</v>
      </c>
      <c r="F29" s="129">
        <v>3930.0</v>
      </c>
      <c r="G29" s="115" t="s">
        <v>133</v>
      </c>
      <c r="H29" s="95">
        <v>46125.0</v>
      </c>
      <c r="I29" s="116"/>
      <c r="J29" s="93"/>
    </row>
    <row r="30" ht="28.5" hidden="1" customHeight="1">
      <c r="D30" s="53" t="s">
        <v>159</v>
      </c>
      <c r="E30" s="112">
        <v>46090.0</v>
      </c>
      <c r="F30" s="130">
        <v>3280.0</v>
      </c>
      <c r="G30" s="111" t="s">
        <v>133</v>
      </c>
      <c r="H30" s="112">
        <v>46125.0</v>
      </c>
      <c r="I30" s="117"/>
      <c r="J30" s="93"/>
    </row>
    <row r="31" ht="28.5" hidden="1" customHeight="1">
      <c r="D31" s="114" t="s">
        <v>160</v>
      </c>
      <c r="E31" s="95">
        <v>46120.0</v>
      </c>
      <c r="F31" s="96">
        <v>5130.0</v>
      </c>
      <c r="G31" s="115" t="s">
        <v>133</v>
      </c>
      <c r="H31" s="95"/>
      <c r="I31" s="116"/>
      <c r="J31" s="93"/>
    </row>
    <row r="32" ht="28.5" hidden="1" customHeight="1">
      <c r="D32" s="53" t="s">
        <v>161</v>
      </c>
      <c r="E32" s="112">
        <v>46120.0</v>
      </c>
      <c r="F32" s="28">
        <v>2920.0</v>
      </c>
      <c r="G32" s="111" t="s">
        <v>133</v>
      </c>
      <c r="H32" s="112">
        <v>46132.0</v>
      </c>
      <c r="I32" s="117"/>
      <c r="J32" s="93"/>
    </row>
    <row r="33" ht="28.5" hidden="1" customHeight="1">
      <c r="D33" s="114" t="s">
        <v>162</v>
      </c>
      <c r="E33" s="95">
        <v>46120.0</v>
      </c>
      <c r="F33" s="96">
        <v>3835.0</v>
      </c>
      <c r="G33" s="115" t="s">
        <v>133</v>
      </c>
      <c r="H33" s="95"/>
      <c r="I33" s="116"/>
      <c r="J33" s="93"/>
      <c r="K33" s="131"/>
      <c r="L33" s="131"/>
    </row>
    <row r="34" ht="28.5" hidden="1" customHeight="1">
      <c r="D34" s="53" t="s">
        <v>163</v>
      </c>
      <c r="E34" s="112">
        <v>46120.0</v>
      </c>
      <c r="F34" s="28">
        <v>3220.0</v>
      </c>
      <c r="G34" s="111" t="s">
        <v>133</v>
      </c>
      <c r="H34" s="112">
        <v>46142.0</v>
      </c>
      <c r="I34" s="117"/>
      <c r="J34" s="93"/>
    </row>
    <row r="35" ht="28.5" hidden="1" customHeight="1">
      <c r="D35" s="114" t="s">
        <v>164</v>
      </c>
      <c r="E35" s="95">
        <v>46120.0</v>
      </c>
      <c r="F35" s="96">
        <v>2830.0</v>
      </c>
      <c r="G35" s="115" t="s">
        <v>133</v>
      </c>
      <c r="H35" s="95"/>
      <c r="I35" s="116"/>
      <c r="J35" s="93"/>
    </row>
    <row r="36" ht="28.5" hidden="1" customHeight="1">
      <c r="D36" s="53" t="s">
        <v>165</v>
      </c>
      <c r="E36" s="112">
        <v>46120.0</v>
      </c>
      <c r="F36" s="28">
        <v>5185.0</v>
      </c>
      <c r="G36" s="111" t="s">
        <v>133</v>
      </c>
      <c r="H36" s="112"/>
      <c r="I36" s="117"/>
      <c r="J36" s="93"/>
    </row>
    <row r="37" ht="28.5" hidden="1" customHeight="1">
      <c r="D37" s="114" t="s">
        <v>166</v>
      </c>
      <c r="E37" s="54">
        <v>46125.0</v>
      </c>
      <c r="F37" s="96">
        <v>3140.0</v>
      </c>
      <c r="G37" s="115" t="s">
        <v>133</v>
      </c>
      <c r="H37" s="95">
        <v>46150.0</v>
      </c>
      <c r="I37" s="116"/>
      <c r="J37" s="93"/>
    </row>
    <row r="38" ht="28.5" hidden="1" customHeight="1">
      <c r="D38" s="53" t="s">
        <v>167</v>
      </c>
      <c r="E38" s="23">
        <v>46136.0</v>
      </c>
      <c r="F38" s="28">
        <v>-413.6</v>
      </c>
      <c r="G38" s="111" t="s">
        <v>133</v>
      </c>
      <c r="H38" s="112">
        <v>46142.0</v>
      </c>
      <c r="I38" s="117"/>
      <c r="J38" s="93"/>
    </row>
    <row r="39" ht="28.5" hidden="1" customHeight="1">
      <c r="D39" s="114" t="s">
        <v>168</v>
      </c>
      <c r="E39" s="54">
        <v>46136.0</v>
      </c>
      <c r="F39" s="96">
        <v>-1020.0</v>
      </c>
      <c r="G39" s="115" t="s">
        <v>133</v>
      </c>
      <c r="H39" s="95">
        <v>46142.0</v>
      </c>
      <c r="I39" s="116"/>
      <c r="J39" s="93"/>
    </row>
    <row r="40" ht="28.5" hidden="1" customHeight="1">
      <c r="D40" s="53" t="s">
        <v>169</v>
      </c>
      <c r="E40" s="23">
        <v>46140.0</v>
      </c>
      <c r="F40" s="28">
        <v>-1250.0</v>
      </c>
      <c r="G40" s="111" t="s">
        <v>133</v>
      </c>
      <c r="H40" s="112">
        <v>46150.0</v>
      </c>
      <c r="I40" s="117"/>
      <c r="J40" s="93"/>
    </row>
    <row r="41" ht="28.5" hidden="1" customHeight="1">
      <c r="D41" s="114" t="s">
        <v>170</v>
      </c>
      <c r="E41" s="54">
        <v>46140.0</v>
      </c>
      <c r="F41" s="96">
        <v>-50.0</v>
      </c>
      <c r="G41" s="115" t="s">
        <v>133</v>
      </c>
      <c r="H41" s="95">
        <v>46150.0</v>
      </c>
      <c r="I41" s="116"/>
      <c r="J41" s="93"/>
    </row>
    <row r="42" ht="28.5" hidden="1" customHeight="1">
      <c r="D42" s="53" t="s">
        <v>171</v>
      </c>
      <c r="E42" s="23">
        <v>46140.0</v>
      </c>
      <c r="F42" s="28">
        <v>-100.0</v>
      </c>
      <c r="G42" s="111" t="s">
        <v>133</v>
      </c>
      <c r="H42" s="112">
        <v>46150.0</v>
      </c>
      <c r="I42" s="117"/>
      <c r="J42" s="93"/>
    </row>
    <row r="43" ht="28.5" hidden="1" customHeight="1">
      <c r="D43" s="114" t="s">
        <v>172</v>
      </c>
      <c r="E43" s="54">
        <v>46140.0</v>
      </c>
      <c r="F43" s="96">
        <v>-250.0</v>
      </c>
      <c r="G43" s="115" t="s">
        <v>133</v>
      </c>
      <c r="H43" s="95">
        <v>46150.0</v>
      </c>
      <c r="I43" s="116"/>
      <c r="J43" s="93"/>
    </row>
    <row r="44" ht="28.5" hidden="1" customHeight="1">
      <c r="D44" s="53" t="s">
        <v>173</v>
      </c>
      <c r="E44" s="23">
        <v>46140.0</v>
      </c>
      <c r="F44" s="28">
        <v>-1185.0</v>
      </c>
      <c r="G44" s="111" t="s">
        <v>133</v>
      </c>
      <c r="H44" s="112">
        <v>46150.0</v>
      </c>
      <c r="I44" s="117"/>
      <c r="J44" s="93"/>
    </row>
    <row r="45" ht="28.5" hidden="1" customHeight="1">
      <c r="D45" s="114" t="s">
        <v>174</v>
      </c>
      <c r="E45" s="54">
        <v>46140.0</v>
      </c>
      <c r="F45" s="96">
        <v>-1350.0</v>
      </c>
      <c r="G45" s="115" t="s">
        <v>133</v>
      </c>
      <c r="H45" s="95">
        <v>46150.0</v>
      </c>
      <c r="I45" s="116"/>
      <c r="J45" s="93"/>
    </row>
    <row r="46" ht="28.5" customHeight="1">
      <c r="D46" s="108" t="s">
        <v>175</v>
      </c>
      <c r="E46" s="21"/>
      <c r="F46" s="28">
        <v>200.0</v>
      </c>
      <c r="G46" s="111"/>
      <c r="H46" s="112"/>
      <c r="I46" s="117"/>
      <c r="J46" s="93"/>
    </row>
    <row r="47" ht="28.5" hidden="1" customHeight="1">
      <c r="D47" s="132" t="s">
        <v>176</v>
      </c>
      <c r="E47" s="54">
        <v>46164.0</v>
      </c>
      <c r="F47" s="96">
        <v>-1967.25</v>
      </c>
      <c r="G47" s="115" t="s">
        <v>133</v>
      </c>
      <c r="H47" s="95"/>
      <c r="I47" s="116"/>
      <c r="J47" s="93"/>
    </row>
    <row r="48" ht="28.5" customHeight="1">
      <c r="D48" s="108"/>
      <c r="E48" s="21"/>
      <c r="F48" s="28">
        <v>2460.0</v>
      </c>
      <c r="G48" s="111" t="s">
        <v>177</v>
      </c>
      <c r="H48" s="112"/>
      <c r="I48" s="117"/>
      <c r="J48" s="93"/>
    </row>
    <row r="49" ht="28.5" hidden="1" customHeight="1">
      <c r="D49" s="132"/>
      <c r="E49" s="49"/>
      <c r="F49" s="96">
        <v>2100.0</v>
      </c>
      <c r="G49" s="115" t="s">
        <v>133</v>
      </c>
      <c r="H49" s="95">
        <v>46188.0</v>
      </c>
      <c r="I49" s="116"/>
      <c r="J49" s="93"/>
    </row>
    <row r="50" ht="28.5" customHeight="1">
      <c r="D50" s="108"/>
      <c r="E50" s="21"/>
      <c r="F50" s="28">
        <v>5010.0</v>
      </c>
      <c r="G50" s="111" t="s">
        <v>177</v>
      </c>
      <c r="H50" s="112"/>
      <c r="I50" s="117"/>
      <c r="J50" s="93"/>
    </row>
    <row r="51" ht="28.5" customHeight="1">
      <c r="C51" s="94">
        <f>F49+F54+F52</f>
        <v>6850</v>
      </c>
      <c r="D51" s="132"/>
      <c r="E51" s="49"/>
      <c r="F51" s="96">
        <v>2450.0</v>
      </c>
      <c r="G51" s="115" t="s">
        <v>177</v>
      </c>
      <c r="H51" s="95"/>
      <c r="I51" s="116"/>
      <c r="J51" s="93"/>
    </row>
    <row r="52" ht="28.5" hidden="1" customHeight="1">
      <c r="C52" s="93">
        <v>6850.0</v>
      </c>
      <c r="D52" s="108"/>
      <c r="E52" s="21"/>
      <c r="F52" s="28">
        <v>1800.0</v>
      </c>
      <c r="G52" s="111" t="s">
        <v>133</v>
      </c>
      <c r="H52" s="112">
        <v>46188.0</v>
      </c>
      <c r="I52" s="117"/>
      <c r="J52" s="93"/>
    </row>
    <row r="53" ht="28.5" customHeight="1">
      <c r="D53" s="132"/>
      <c r="E53" s="49"/>
      <c r="F53" s="96">
        <v>3300.0</v>
      </c>
      <c r="G53" s="115" t="s">
        <v>177</v>
      </c>
      <c r="H53" s="95"/>
      <c r="I53" s="116"/>
      <c r="J53" s="93"/>
    </row>
    <row r="54" ht="28.5" hidden="1" customHeight="1">
      <c r="D54" s="108"/>
      <c r="E54" s="21"/>
      <c r="F54" s="28">
        <v>2950.0</v>
      </c>
      <c r="G54" s="111" t="s">
        <v>133</v>
      </c>
      <c r="H54" s="112">
        <v>46188.0</v>
      </c>
      <c r="I54" s="117"/>
      <c r="J54" s="93"/>
    </row>
    <row r="55" ht="28.5" customHeight="1">
      <c r="D55" s="132"/>
      <c r="E55" s="49"/>
      <c r="F55" s="96">
        <v>4890.0</v>
      </c>
      <c r="G55" s="115" t="s">
        <v>177</v>
      </c>
      <c r="H55" s="95"/>
      <c r="I55" s="116"/>
      <c r="J55" s="93"/>
    </row>
    <row r="56" ht="28.5" customHeight="1">
      <c r="D56" s="108"/>
      <c r="E56" s="21"/>
      <c r="F56" s="28">
        <v>2700.0</v>
      </c>
      <c r="G56" s="111" t="s">
        <v>177</v>
      </c>
      <c r="H56" s="112"/>
      <c r="I56" s="117"/>
      <c r="J56" s="93"/>
    </row>
    <row r="57" ht="28.5" customHeight="1">
      <c r="D57" s="132"/>
      <c r="E57" s="49"/>
      <c r="F57" s="96"/>
      <c r="G57" s="115"/>
      <c r="H57" s="95"/>
      <c r="I57" s="116"/>
      <c r="J57" s="93"/>
    </row>
    <row r="58" ht="28.5" customHeight="1">
      <c r="D58" s="108"/>
      <c r="E58" s="21"/>
      <c r="F58" s="28"/>
      <c r="G58" s="111"/>
      <c r="H58" s="112"/>
      <c r="I58" s="117"/>
      <c r="J58" s="93"/>
    </row>
    <row r="59" ht="28.5" customHeight="1">
      <c r="D59" s="132"/>
      <c r="E59" s="49"/>
      <c r="F59" s="96"/>
      <c r="G59" s="115"/>
      <c r="H59" s="95"/>
      <c r="I59" s="116"/>
      <c r="J59" s="93"/>
    </row>
    <row r="60" ht="28.5" customHeight="1">
      <c r="D60" s="108"/>
      <c r="E60" s="21"/>
      <c r="F60" s="28"/>
      <c r="G60" s="111"/>
      <c r="H60" s="112"/>
      <c r="I60" s="117"/>
      <c r="J60" s="93"/>
    </row>
    <row r="61" ht="28.5" customHeight="1">
      <c r="D61" s="114"/>
      <c r="E61" s="49" t="s">
        <v>178</v>
      </c>
      <c r="F61" s="96">
        <f>SUBTOTAL(9,F2:F56)</f>
        <v>21010</v>
      </c>
      <c r="G61" s="115"/>
      <c r="H61" s="95"/>
      <c r="I61" s="116"/>
      <c r="J61" s="93"/>
    </row>
    <row r="62" ht="28.5" customHeight="1">
      <c r="D62" s="53"/>
      <c r="E62" s="112"/>
      <c r="F62" s="28"/>
      <c r="G62" s="111"/>
      <c r="H62" s="112"/>
      <c r="I62" s="117"/>
      <c r="J62" s="93"/>
    </row>
    <row r="63" ht="28.5" customHeight="1">
      <c r="D63" s="114"/>
      <c r="E63" s="95"/>
      <c r="F63" s="96"/>
      <c r="G63" s="115"/>
      <c r="H63" s="95"/>
      <c r="I63" s="116"/>
      <c r="J63" s="93"/>
    </row>
    <row r="64" ht="28.5" customHeight="1">
      <c r="D64" s="53"/>
      <c r="E64" s="112"/>
      <c r="F64" s="28"/>
      <c r="G64" s="111"/>
      <c r="H64" s="112"/>
      <c r="I64" s="117"/>
      <c r="J64" s="93"/>
    </row>
    <row r="65" ht="28.5" customHeight="1">
      <c r="D65" s="114"/>
      <c r="E65" s="95"/>
      <c r="F65" s="96"/>
      <c r="G65" s="115"/>
      <c r="H65" s="95"/>
      <c r="I65" s="116"/>
      <c r="J65" s="93"/>
    </row>
    <row r="66" ht="28.5" customHeight="1">
      <c r="D66" s="53"/>
      <c r="E66" s="112"/>
      <c r="F66" s="28"/>
      <c r="G66" s="111"/>
      <c r="H66" s="112"/>
      <c r="I66" s="117"/>
      <c r="J66" s="93"/>
    </row>
    <row r="67" ht="28.5" customHeight="1">
      <c r="D67" s="133"/>
      <c r="E67" s="134"/>
      <c r="F67" s="134"/>
      <c r="G67" s="135"/>
      <c r="H67" s="134"/>
      <c r="I67" s="136"/>
      <c r="J67" s="93"/>
    </row>
    <row r="68" ht="28.5" customHeight="1">
      <c r="D68" s="137"/>
      <c r="E68" s="138"/>
      <c r="F68" s="138"/>
      <c r="G68" s="139"/>
      <c r="H68" s="138"/>
      <c r="I68" s="140"/>
      <c r="J68" s="93"/>
    </row>
    <row r="69" ht="28.5" customHeight="1">
      <c r="D69" s="133"/>
      <c r="E69" s="134"/>
      <c r="F69" s="134"/>
      <c r="G69" s="135"/>
      <c r="H69" s="134"/>
      <c r="I69" s="136"/>
      <c r="J69" s="93"/>
    </row>
    <row r="70" ht="28.5" customHeight="1">
      <c r="D70" s="137"/>
      <c r="E70" s="138"/>
      <c r="F70" s="138"/>
      <c r="G70" s="139"/>
      <c r="H70" s="138"/>
      <c r="I70" s="140"/>
      <c r="J70" s="93"/>
    </row>
    <row r="71" ht="28.5" customHeight="1">
      <c r="D71" s="133"/>
      <c r="E71" s="134"/>
      <c r="F71" s="134"/>
      <c r="G71" s="135"/>
      <c r="H71" s="134"/>
      <c r="I71" s="136"/>
      <c r="J71" s="93"/>
    </row>
    <row r="72" ht="28.5" customHeight="1">
      <c r="D72" s="137"/>
      <c r="E72" s="138"/>
      <c r="F72" s="138"/>
      <c r="G72" s="139"/>
      <c r="H72" s="138"/>
      <c r="I72" s="140"/>
      <c r="J72" s="93"/>
    </row>
    <row r="73" ht="28.5" customHeight="1">
      <c r="D73" s="133"/>
      <c r="E73" s="134"/>
      <c r="F73" s="134"/>
      <c r="G73" s="135"/>
      <c r="H73" s="134"/>
      <c r="I73" s="136"/>
      <c r="J73" s="93"/>
    </row>
    <row r="74" ht="28.5" customHeight="1">
      <c r="D74" s="137"/>
      <c r="E74" s="138"/>
      <c r="F74" s="138"/>
      <c r="G74" s="139"/>
      <c r="H74" s="138"/>
      <c r="I74" s="140"/>
      <c r="J74" s="93"/>
    </row>
    <row r="75" ht="28.5" customHeight="1">
      <c r="D75" s="133"/>
      <c r="E75" s="134"/>
      <c r="F75" s="134"/>
      <c r="G75" s="135"/>
      <c r="H75" s="134"/>
      <c r="I75" s="136"/>
      <c r="J75" s="93"/>
    </row>
    <row r="76" ht="28.5" customHeight="1">
      <c r="D76" s="137"/>
      <c r="E76" s="138"/>
      <c r="F76" s="138"/>
      <c r="G76" s="139"/>
      <c r="H76" s="138"/>
      <c r="I76" s="140"/>
      <c r="J76" s="93"/>
    </row>
    <row r="77" ht="28.5" customHeight="1">
      <c r="D77" s="133"/>
      <c r="E77" s="134"/>
      <c r="F77" s="134"/>
      <c r="G77" s="135"/>
      <c r="H77" s="134"/>
      <c r="I77" s="136"/>
      <c r="J77" s="93"/>
    </row>
    <row r="78" ht="28.5" customHeight="1">
      <c r="D78" s="137"/>
      <c r="E78" s="138"/>
      <c r="F78" s="138"/>
      <c r="G78" s="139"/>
      <c r="H78" s="138"/>
      <c r="I78" s="140"/>
      <c r="J78" s="93"/>
    </row>
    <row r="79" ht="28.5" customHeight="1">
      <c r="D79" s="133"/>
      <c r="E79" s="134"/>
      <c r="F79" s="134"/>
      <c r="G79" s="134"/>
      <c r="H79" s="134"/>
      <c r="I79" s="136"/>
      <c r="J79" s="93"/>
    </row>
    <row r="80" ht="28.5" customHeight="1">
      <c r="D80" s="137"/>
      <c r="E80" s="138"/>
      <c r="F80" s="138"/>
      <c r="G80" s="138"/>
      <c r="H80" s="138"/>
      <c r="I80" s="140"/>
      <c r="J80" s="93"/>
    </row>
    <row r="81" ht="28.5" customHeight="1">
      <c r="D81" s="133"/>
      <c r="E81" s="134"/>
      <c r="F81" s="134"/>
      <c r="G81" s="134"/>
      <c r="H81" s="134"/>
      <c r="I81" s="136"/>
      <c r="J81" s="93"/>
    </row>
    <row r="82" ht="28.5" customHeight="1">
      <c r="D82" s="137"/>
      <c r="E82" s="138"/>
      <c r="F82" s="138"/>
      <c r="G82" s="138"/>
      <c r="H82" s="138"/>
      <c r="I82" s="140"/>
      <c r="J82" s="93"/>
    </row>
    <row r="83" ht="28.5" customHeight="1">
      <c r="D83" s="133"/>
      <c r="E83" s="134"/>
      <c r="F83" s="134"/>
      <c r="G83" s="134"/>
      <c r="H83" s="134"/>
      <c r="I83" s="136"/>
      <c r="J83" s="93"/>
    </row>
    <row r="84" ht="28.5" customHeight="1">
      <c r="D84" s="137"/>
      <c r="E84" s="138"/>
      <c r="F84" s="138"/>
      <c r="G84" s="138"/>
      <c r="H84" s="138"/>
      <c r="I84" s="140"/>
      <c r="J84" s="93"/>
    </row>
    <row r="85" ht="28.5" customHeight="1">
      <c r="D85" s="133"/>
      <c r="E85" s="134"/>
      <c r="F85" s="134"/>
      <c r="G85" s="134"/>
      <c r="H85" s="134"/>
      <c r="I85" s="136"/>
      <c r="J85" s="93"/>
    </row>
    <row r="86" ht="28.5" customHeight="1">
      <c r="D86" s="137"/>
      <c r="E86" s="138"/>
      <c r="F86" s="138"/>
      <c r="G86" s="138"/>
      <c r="H86" s="138"/>
      <c r="I86" s="140"/>
      <c r="J86" s="93"/>
    </row>
    <row r="87" ht="28.5" customHeight="1">
      <c r="D87" s="133"/>
      <c r="E87" s="134"/>
      <c r="F87" s="134"/>
      <c r="G87" s="134"/>
      <c r="H87" s="134"/>
      <c r="I87" s="136"/>
      <c r="J87" s="93"/>
    </row>
    <row r="88" ht="28.5" customHeight="1">
      <c r="D88" s="137"/>
      <c r="E88" s="138"/>
      <c r="F88" s="138"/>
      <c r="G88" s="138"/>
      <c r="H88" s="138"/>
      <c r="I88" s="140"/>
      <c r="J88" s="93"/>
    </row>
    <row r="89" ht="28.5" customHeight="1">
      <c r="D89" s="133"/>
      <c r="E89" s="134"/>
      <c r="F89" s="134"/>
      <c r="G89" s="134"/>
      <c r="H89" s="134"/>
      <c r="I89" s="136"/>
    </row>
    <row r="90" ht="28.5" customHeight="1">
      <c r="D90" s="137"/>
      <c r="E90" s="138"/>
      <c r="F90" s="138"/>
      <c r="G90" s="138"/>
      <c r="H90" s="138"/>
      <c r="I90" s="140"/>
    </row>
    <row r="91" ht="28.5" customHeight="1">
      <c r="D91" s="133"/>
      <c r="E91" s="134"/>
      <c r="F91" s="134"/>
      <c r="G91" s="134"/>
      <c r="H91" s="134"/>
      <c r="I91" s="136"/>
    </row>
    <row r="92" ht="28.5" customHeight="1">
      <c r="D92" s="137"/>
      <c r="E92" s="138"/>
      <c r="F92" s="138"/>
      <c r="G92" s="138"/>
      <c r="H92" s="138"/>
      <c r="I92" s="140"/>
    </row>
    <row r="93" ht="28.5" customHeight="1">
      <c r="D93" s="133"/>
      <c r="E93" s="134"/>
      <c r="F93" s="134"/>
      <c r="G93" s="134"/>
      <c r="H93" s="134"/>
      <c r="I93" s="136"/>
    </row>
    <row r="94" ht="28.5" customHeight="1">
      <c r="D94" s="137"/>
      <c r="E94" s="138"/>
      <c r="F94" s="138"/>
      <c r="G94" s="138"/>
      <c r="H94" s="138"/>
      <c r="I94" s="140"/>
    </row>
    <row r="95" ht="28.5" customHeight="1">
      <c r="D95" s="133"/>
      <c r="E95" s="134"/>
      <c r="F95" s="134"/>
      <c r="G95" s="134"/>
      <c r="H95" s="134"/>
      <c r="I95" s="136"/>
    </row>
    <row r="96" ht="28.5" customHeight="1">
      <c r="D96" s="137"/>
      <c r="E96" s="138"/>
      <c r="F96" s="138"/>
      <c r="G96" s="138"/>
      <c r="H96" s="138"/>
      <c r="I96" s="140"/>
    </row>
    <row r="97" ht="28.5" customHeight="1">
      <c r="D97" s="133"/>
      <c r="E97" s="134"/>
      <c r="F97" s="134"/>
      <c r="G97" s="134"/>
      <c r="H97" s="134"/>
      <c r="I97" s="136"/>
    </row>
    <row r="98" ht="28.5" customHeight="1">
      <c r="D98" s="137"/>
      <c r="E98" s="138"/>
      <c r="F98" s="138"/>
      <c r="G98" s="138"/>
      <c r="H98" s="138"/>
      <c r="I98" s="140"/>
    </row>
    <row r="99" ht="28.5" customHeight="1">
      <c r="D99" s="133"/>
      <c r="E99" s="134"/>
      <c r="F99" s="134"/>
      <c r="G99" s="134"/>
      <c r="H99" s="134"/>
      <c r="I99" s="136"/>
    </row>
    <row r="100" ht="28.5" customHeight="1">
      <c r="D100" s="137"/>
      <c r="E100" s="138"/>
      <c r="F100" s="138"/>
      <c r="G100" s="138"/>
      <c r="H100" s="138"/>
      <c r="I100" s="140"/>
    </row>
    <row r="101" ht="28.5" customHeight="1">
      <c r="D101" s="133"/>
      <c r="E101" s="134"/>
      <c r="F101" s="134"/>
      <c r="G101" s="134"/>
      <c r="H101" s="134"/>
      <c r="I101" s="136"/>
    </row>
    <row r="102" ht="28.5" customHeight="1">
      <c r="D102" s="137"/>
      <c r="E102" s="138"/>
      <c r="F102" s="138"/>
      <c r="G102" s="138"/>
      <c r="H102" s="138"/>
      <c r="I102" s="140"/>
    </row>
    <row r="103" ht="28.5" customHeight="1">
      <c r="D103" s="133"/>
      <c r="E103" s="134"/>
      <c r="F103" s="134"/>
      <c r="G103" s="134"/>
      <c r="H103" s="134"/>
      <c r="I103" s="136"/>
    </row>
    <row r="104" ht="28.5" customHeight="1">
      <c r="D104" s="137"/>
      <c r="E104" s="138"/>
      <c r="F104" s="138"/>
      <c r="G104" s="138"/>
      <c r="H104" s="138"/>
      <c r="I104" s="140"/>
    </row>
    <row r="105" ht="28.5" customHeight="1">
      <c r="D105" s="133"/>
      <c r="E105" s="134"/>
      <c r="F105" s="134"/>
      <c r="G105" s="134"/>
      <c r="H105" s="134"/>
      <c r="I105" s="136"/>
    </row>
    <row r="106" ht="28.5" customHeight="1">
      <c r="D106" s="137"/>
      <c r="E106" s="138"/>
      <c r="F106" s="138"/>
      <c r="G106" s="138"/>
      <c r="H106" s="138"/>
      <c r="I106" s="140"/>
    </row>
    <row r="107" ht="28.5" customHeight="1">
      <c r="D107" s="133"/>
      <c r="E107" s="134"/>
      <c r="F107" s="134"/>
      <c r="G107" s="134"/>
      <c r="H107" s="134"/>
      <c r="I107" s="136"/>
    </row>
    <row r="108" ht="28.5" customHeight="1">
      <c r="D108" s="137"/>
      <c r="E108" s="138"/>
      <c r="F108" s="138"/>
      <c r="G108" s="138"/>
      <c r="H108" s="138"/>
      <c r="I108" s="140"/>
    </row>
    <row r="109" ht="28.5" customHeight="1">
      <c r="D109" s="133"/>
      <c r="E109" s="134"/>
      <c r="F109" s="134"/>
      <c r="G109" s="134"/>
      <c r="H109" s="134"/>
      <c r="I109" s="136"/>
    </row>
    <row r="110" ht="28.5" customHeight="1">
      <c r="D110" s="137"/>
      <c r="E110" s="138"/>
      <c r="F110" s="138"/>
      <c r="G110" s="138"/>
      <c r="H110" s="138"/>
      <c r="I110" s="140"/>
    </row>
    <row r="111" ht="28.5" customHeight="1">
      <c r="D111" s="133"/>
      <c r="E111" s="134"/>
      <c r="F111" s="134"/>
      <c r="G111" s="134"/>
      <c r="H111" s="134"/>
      <c r="I111" s="136"/>
    </row>
    <row r="112" ht="28.5" customHeight="1">
      <c r="D112" s="137"/>
      <c r="E112" s="138"/>
      <c r="F112" s="138"/>
      <c r="G112" s="138"/>
      <c r="H112" s="138"/>
      <c r="I112" s="140"/>
    </row>
    <row r="113" ht="28.5" customHeight="1">
      <c r="D113" s="133"/>
      <c r="E113" s="134"/>
      <c r="F113" s="134"/>
      <c r="G113" s="134"/>
      <c r="H113" s="134"/>
      <c r="I113" s="136"/>
    </row>
    <row r="114" ht="28.5" customHeight="1">
      <c r="D114" s="141"/>
      <c r="E114" s="142"/>
      <c r="F114" s="142"/>
      <c r="G114" s="142"/>
      <c r="H114" s="142"/>
      <c r="I114" s="143"/>
    </row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62">
    <filterColumn colId="6">
      <filters blank="1">
        <filter val="Pas Payée"/>
      </filters>
    </filterColumn>
  </autoFilter>
  <mergeCells count="2">
    <mergeCell ref="D1:I1"/>
    <mergeCell ref="I3:I5"/>
  </mergeCells>
  <dataValidations>
    <dataValidation type="list" allowBlank="1" showErrorMessage="1" sqref="G3:G66">
      <formula1>"Payée,Pas Payée"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180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60" t="s">
        <v>195</v>
      </c>
      <c r="B14" s="160" t="s">
        <v>196</v>
      </c>
      <c r="C14" s="161" t="s">
        <v>197</v>
      </c>
      <c r="D14" s="162" t="s">
        <v>198</v>
      </c>
      <c r="E14" s="159"/>
      <c r="F14" s="163">
        <v>800.0</v>
      </c>
    </row>
    <row r="15" ht="15.75" customHeight="1">
      <c r="A15" s="160" t="s">
        <v>199</v>
      </c>
      <c r="B15" s="160" t="s">
        <v>200</v>
      </c>
      <c r="C15" s="161" t="s">
        <v>201</v>
      </c>
      <c r="D15" s="162" t="s">
        <v>198</v>
      </c>
      <c r="E15" s="159"/>
      <c r="F15" s="163">
        <v>700.0</v>
      </c>
    </row>
    <row r="16" ht="15.75" customHeight="1">
      <c r="A16" s="160" t="s">
        <v>202</v>
      </c>
      <c r="B16" s="160" t="s">
        <v>203</v>
      </c>
      <c r="C16" s="161" t="s">
        <v>204</v>
      </c>
      <c r="D16" s="162" t="s">
        <v>198</v>
      </c>
      <c r="E16" s="159"/>
      <c r="F16" s="163">
        <v>960.0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2460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2460</v>
      </c>
      <c r="E21" s="172">
        <v>0.0</v>
      </c>
      <c r="F21" s="171">
        <f>D21+D21*E21</f>
        <v>2460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219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81" t="s">
        <v>220</v>
      </c>
      <c r="B14" s="182" t="s">
        <v>221</v>
      </c>
      <c r="C14" s="183" t="s">
        <v>71</v>
      </c>
      <c r="D14" s="184" t="s">
        <v>198</v>
      </c>
      <c r="E14" s="159"/>
      <c r="F14" s="185">
        <v>700.0</v>
      </c>
    </row>
    <row r="15" ht="15.75" customHeight="1">
      <c r="A15" s="186" t="s">
        <v>222</v>
      </c>
      <c r="B15" s="187" t="s">
        <v>223</v>
      </c>
      <c r="C15" s="187" t="s">
        <v>224</v>
      </c>
      <c r="D15" s="184" t="s">
        <v>198</v>
      </c>
      <c r="E15" s="159"/>
      <c r="F15" s="188">
        <v>700.0</v>
      </c>
    </row>
    <row r="16" ht="15.75" customHeight="1">
      <c r="A16" s="186" t="s">
        <v>225</v>
      </c>
      <c r="B16" s="187" t="s">
        <v>226</v>
      </c>
      <c r="C16" s="187" t="s">
        <v>227</v>
      </c>
      <c r="D16" s="184" t="s">
        <v>198</v>
      </c>
      <c r="E16" s="159"/>
      <c r="F16" s="188">
        <v>700.0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2100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2100</v>
      </c>
      <c r="E21" s="172">
        <v>0.0</v>
      </c>
      <c r="F21" s="171">
        <f>D21+D21*E21</f>
        <v>2100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228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86" t="s">
        <v>229</v>
      </c>
      <c r="B14" s="186" t="s">
        <v>230</v>
      </c>
      <c r="C14" s="187" t="s">
        <v>231</v>
      </c>
      <c r="D14" s="184" t="s">
        <v>198</v>
      </c>
      <c r="E14" s="159"/>
      <c r="F14" s="188">
        <f>2330+50</f>
        <v>2380</v>
      </c>
    </row>
    <row r="15" ht="15.75" customHeight="1">
      <c r="A15" s="186" t="s">
        <v>232</v>
      </c>
      <c r="B15" s="186" t="s">
        <v>233</v>
      </c>
      <c r="C15" s="187" t="s">
        <v>234</v>
      </c>
      <c r="D15" s="184" t="s">
        <v>198</v>
      </c>
      <c r="E15" s="159"/>
      <c r="F15" s="188">
        <v>1930.0</v>
      </c>
    </row>
    <row r="16" ht="15.75" customHeight="1">
      <c r="A16" s="189" t="s">
        <v>235</v>
      </c>
      <c r="B16" s="190" t="s">
        <v>236</v>
      </c>
      <c r="C16" s="189">
        <v>40000.0</v>
      </c>
      <c r="D16" s="184" t="s">
        <v>198</v>
      </c>
      <c r="E16" s="159"/>
      <c r="F16" s="191">
        <v>700.0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5010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5010</v>
      </c>
      <c r="E21" s="172">
        <v>0.0</v>
      </c>
      <c r="F21" s="171">
        <f>D21+D21*E21</f>
        <v>5010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7" max="7" width="25.75"/>
    <col customWidth="1" min="9" max="9" width="18.88"/>
    <col customWidth="1" min="10" max="10" width="19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G9" s="192" t="s">
        <v>237</v>
      </c>
      <c r="H9" s="192" t="s">
        <v>5</v>
      </c>
      <c r="I9" s="192" t="s">
        <v>238</v>
      </c>
      <c r="J9" s="192" t="s">
        <v>239</v>
      </c>
    </row>
    <row r="10" ht="15.75" customHeight="1">
      <c r="G10" s="193" t="s">
        <v>240</v>
      </c>
      <c r="H10" s="193" t="s">
        <v>241</v>
      </c>
      <c r="I10" s="194">
        <v>46185.0</v>
      </c>
      <c r="J10" s="195">
        <v>8391.0</v>
      </c>
    </row>
    <row r="11" ht="15.75" customHeight="1">
      <c r="G11" s="195" t="s">
        <v>242</v>
      </c>
      <c r="H11" s="193" t="s">
        <v>243</v>
      </c>
      <c r="I11" s="194">
        <v>46185.0</v>
      </c>
      <c r="J11" s="195" t="s">
        <v>244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245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89" t="s">
        <v>246</v>
      </c>
      <c r="B14" s="190" t="s">
        <v>247</v>
      </c>
      <c r="C14" s="189">
        <v>40280.0</v>
      </c>
      <c r="D14" s="184" t="s">
        <v>198</v>
      </c>
      <c r="E14" s="159"/>
      <c r="F14" s="191">
        <v>700.0</v>
      </c>
    </row>
    <row r="15" ht="15.75" customHeight="1">
      <c r="A15" s="196" t="s">
        <v>248</v>
      </c>
      <c r="B15" s="196" t="s">
        <v>249</v>
      </c>
      <c r="C15" s="196">
        <v>40465.0</v>
      </c>
      <c r="D15" s="184" t="s">
        <v>198</v>
      </c>
      <c r="E15" s="159"/>
      <c r="F15" s="197">
        <v>850.0</v>
      </c>
    </row>
    <row r="16" ht="15.75" customHeight="1">
      <c r="A16" s="196" t="s">
        <v>250</v>
      </c>
      <c r="B16" s="196" t="s">
        <v>251</v>
      </c>
      <c r="C16" s="196">
        <v>6140.0</v>
      </c>
      <c r="D16" s="184" t="s">
        <v>198</v>
      </c>
      <c r="E16" s="159"/>
      <c r="F16" s="197">
        <v>900.0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2450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2450</v>
      </c>
      <c r="E21" s="172">
        <v>0.0</v>
      </c>
      <c r="F21" s="171">
        <f>D21+D21*E21</f>
        <v>2450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252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98" t="s">
        <v>114</v>
      </c>
      <c r="B14" s="199" t="s">
        <v>115</v>
      </c>
      <c r="C14" s="200" t="s">
        <v>116</v>
      </c>
      <c r="D14" s="184" t="s">
        <v>253</v>
      </c>
      <c r="E14" s="159"/>
      <c r="F14" s="163">
        <v>800.0</v>
      </c>
    </row>
    <row r="15" ht="15.75" customHeight="1">
      <c r="A15" s="198" t="s">
        <v>254</v>
      </c>
      <c r="B15" s="199" t="s">
        <v>255</v>
      </c>
      <c r="C15" s="200" t="s">
        <v>197</v>
      </c>
      <c r="D15" s="184" t="s">
        <v>253</v>
      </c>
      <c r="E15" s="159"/>
      <c r="F15" s="163">
        <v>700.0</v>
      </c>
    </row>
    <row r="16" ht="15.75" customHeight="1">
      <c r="A16" s="146"/>
      <c r="B16" s="146"/>
      <c r="C16" s="146"/>
      <c r="D16" s="146"/>
      <c r="E16" s="146"/>
      <c r="F16" s="164"/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SUM(F14:F15)</f>
        <v>1500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1500</v>
      </c>
      <c r="E21" s="172">
        <v>0.2</v>
      </c>
      <c r="F21" s="171">
        <f>D21+D21*E21</f>
        <v>1800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7:F11"/>
    <mergeCell ref="B8:C8"/>
    <mergeCell ref="B9:C9"/>
    <mergeCell ref="B10:C10"/>
    <mergeCell ref="D13:E13"/>
    <mergeCell ref="D14:E14"/>
    <mergeCell ref="D15:E15"/>
    <mergeCell ref="A27:B27"/>
    <mergeCell ref="A31:F31"/>
    <mergeCell ref="D17:E17"/>
    <mergeCell ref="D18:E18"/>
    <mergeCell ref="D19:F19"/>
    <mergeCell ref="D21:D22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256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</row>
    <row r="14" ht="15.75" customHeight="1">
      <c r="A14" s="196" t="s">
        <v>257</v>
      </c>
      <c r="B14" s="201" t="s">
        <v>258</v>
      </c>
      <c r="C14" s="196">
        <v>6220.0</v>
      </c>
      <c r="D14" s="184" t="s">
        <v>198</v>
      </c>
      <c r="E14" s="159"/>
      <c r="F14" s="197">
        <v>950.0</v>
      </c>
    </row>
    <row r="15" ht="15.75" customHeight="1">
      <c r="A15" s="196" t="s">
        <v>259</v>
      </c>
      <c r="B15" s="196" t="s">
        <v>260</v>
      </c>
      <c r="C15" s="196">
        <v>64240.0</v>
      </c>
      <c r="D15" s="184" t="s">
        <v>198</v>
      </c>
      <c r="E15" s="159"/>
      <c r="F15" s="197">
        <v>800.0</v>
      </c>
    </row>
    <row r="16" ht="15.75" customHeight="1">
      <c r="A16" s="186" t="s">
        <v>261</v>
      </c>
      <c r="B16" s="186" t="s">
        <v>262</v>
      </c>
      <c r="C16" s="187" t="s">
        <v>263</v>
      </c>
      <c r="D16" s="184" t="s">
        <v>198</v>
      </c>
      <c r="E16" s="159"/>
      <c r="F16" s="188">
        <f>1750-250+50</f>
        <v>1550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3300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3300</v>
      </c>
      <c r="E21" s="172">
        <v>0.0</v>
      </c>
      <c r="F21" s="171">
        <f>D21+D21*E21</f>
        <v>3300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264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>
        <v>46183.0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  <c r="G12" s="12"/>
      <c r="H12" s="12"/>
    </row>
    <row r="13" ht="15.75" customHeight="1">
      <c r="A13" s="157" t="s">
        <v>192</v>
      </c>
      <c r="B13" s="157" t="s">
        <v>3</v>
      </c>
      <c r="C13" s="157" t="s">
        <v>2</v>
      </c>
      <c r="D13" s="158" t="s">
        <v>193</v>
      </c>
      <c r="E13" s="159"/>
      <c r="F13" s="157" t="s">
        <v>194</v>
      </c>
      <c r="G13" s="12"/>
      <c r="H13" s="12"/>
    </row>
    <row r="14" ht="15.75" customHeight="1">
      <c r="A14" s="199" t="s">
        <v>265</v>
      </c>
      <c r="B14" s="199" t="s">
        <v>266</v>
      </c>
      <c r="C14" s="200" t="s">
        <v>30</v>
      </c>
      <c r="D14" s="184" t="s">
        <v>198</v>
      </c>
      <c r="E14" s="159"/>
      <c r="F14" s="163">
        <f>1200-150</f>
        <v>1050</v>
      </c>
      <c r="G14" s="12"/>
      <c r="H14" s="12"/>
    </row>
    <row r="15" ht="15.75" customHeight="1">
      <c r="A15" s="199" t="s">
        <v>267</v>
      </c>
      <c r="B15" s="199" t="s">
        <v>268</v>
      </c>
      <c r="C15" s="200" t="s">
        <v>26</v>
      </c>
      <c r="D15" s="184" t="s">
        <v>198</v>
      </c>
      <c r="E15" s="159"/>
      <c r="F15" s="163">
        <f>950-100</f>
        <v>850</v>
      </c>
      <c r="G15" s="12"/>
      <c r="H15" s="12"/>
    </row>
    <row r="16" ht="15.75" customHeight="1">
      <c r="A16" s="199" t="s">
        <v>269</v>
      </c>
      <c r="B16" s="199" t="s">
        <v>270</v>
      </c>
      <c r="C16" s="200" t="s">
        <v>271</v>
      </c>
      <c r="D16" s="202" t="s">
        <v>198</v>
      </c>
      <c r="E16" s="159"/>
      <c r="F16" s="163">
        <f>1300-250</f>
        <v>1050</v>
      </c>
      <c r="G16" s="12"/>
      <c r="H16" s="12"/>
    </row>
    <row r="17" ht="15.75" customHeight="1">
      <c r="A17" s="146"/>
      <c r="B17" s="146"/>
      <c r="C17" s="146"/>
      <c r="D17" s="146"/>
      <c r="F17" s="164"/>
      <c r="G17" s="12"/>
      <c r="H17" s="12"/>
    </row>
    <row r="18" ht="15.75" customHeight="1">
      <c r="A18" s="146"/>
      <c r="B18" s="146"/>
      <c r="C18" s="146"/>
      <c r="D18" s="165" t="s">
        <v>178</v>
      </c>
      <c r="F18" s="166">
        <f>SUM(F14:F16)</f>
        <v>2950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2950</v>
      </c>
      <c r="E21" s="172">
        <v>0.0</v>
      </c>
      <c r="F21" s="171">
        <f>D21+D21*E21</f>
        <v>2950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272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203">
        <v>46185.0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2</v>
      </c>
      <c r="C13" s="157" t="s">
        <v>3</v>
      </c>
      <c r="D13" s="158" t="s">
        <v>193</v>
      </c>
      <c r="E13" s="159"/>
      <c r="F13" s="157" t="s">
        <v>194</v>
      </c>
    </row>
    <row r="14" ht="15.75" customHeight="1">
      <c r="A14" s="204" t="s">
        <v>273</v>
      </c>
      <c r="B14" s="182" t="s">
        <v>274</v>
      </c>
      <c r="C14" s="187" t="s">
        <v>275</v>
      </c>
      <c r="D14" s="184" t="s">
        <v>198</v>
      </c>
      <c r="E14" s="159"/>
      <c r="F14" s="188">
        <v>1350.0</v>
      </c>
      <c r="G14" s="12"/>
      <c r="H14" s="12"/>
    </row>
    <row r="15" ht="15.75" customHeight="1">
      <c r="A15" s="186" t="s">
        <v>232</v>
      </c>
      <c r="B15" s="186" t="s">
        <v>276</v>
      </c>
      <c r="C15" s="187" t="s">
        <v>234</v>
      </c>
      <c r="D15" s="184" t="s">
        <v>198</v>
      </c>
      <c r="E15" s="159"/>
      <c r="F15" s="188">
        <f>1820+50</f>
        <v>1870</v>
      </c>
      <c r="G15" s="205"/>
      <c r="H15" s="12"/>
    </row>
    <row r="16" ht="15.75" customHeight="1">
      <c r="A16" s="198" t="s">
        <v>277</v>
      </c>
      <c r="B16" s="199" t="s">
        <v>278</v>
      </c>
      <c r="C16" s="200" t="s">
        <v>279</v>
      </c>
      <c r="D16" s="184" t="s">
        <v>198</v>
      </c>
      <c r="E16" s="159"/>
      <c r="F16" s="163">
        <f>1580+50</f>
        <v>1630</v>
      </c>
      <c r="G16" s="12"/>
      <c r="H16" s="12"/>
    </row>
    <row r="17" ht="15.75" customHeight="1">
      <c r="A17" s="146"/>
      <c r="B17" s="146"/>
      <c r="C17" s="146"/>
      <c r="D17" s="146"/>
      <c r="F17" s="164"/>
      <c r="G17" s="12"/>
      <c r="H17" s="12"/>
    </row>
    <row r="18" ht="15.75" customHeight="1">
      <c r="A18" s="146"/>
      <c r="B18" s="146"/>
      <c r="C18" s="146"/>
      <c r="D18" s="165" t="s">
        <v>178</v>
      </c>
      <c r="F18" s="166">
        <f>SUM(F14:F16)</f>
        <v>4850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4850</v>
      </c>
      <c r="E21" s="172">
        <v>0.0</v>
      </c>
      <c r="F21" s="171">
        <f>D21+D21*E21</f>
        <v>4850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280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/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2</v>
      </c>
      <c r="C13" s="157" t="s">
        <v>3</v>
      </c>
      <c r="D13" s="158" t="s">
        <v>193</v>
      </c>
      <c r="E13" s="159"/>
      <c r="F13" s="157" t="s">
        <v>194</v>
      </c>
    </row>
    <row r="14" ht="15.75" customHeight="1">
      <c r="A14" s="160"/>
      <c r="B14" s="161"/>
      <c r="C14" s="160"/>
      <c r="D14" s="162"/>
      <c r="E14" s="159"/>
      <c r="F14" s="163"/>
    </row>
    <row r="15" ht="15.75" customHeight="1">
      <c r="A15" s="160"/>
      <c r="B15" s="161"/>
      <c r="C15" s="160"/>
      <c r="D15" s="162"/>
      <c r="E15" s="159"/>
      <c r="F15" s="163"/>
    </row>
    <row r="16" ht="15.75" customHeight="1">
      <c r="A16" s="160"/>
      <c r="B16" s="161"/>
      <c r="C16" s="160"/>
      <c r="D16" s="162"/>
      <c r="E16" s="159"/>
      <c r="F16" s="163"/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0</v>
      </c>
      <c r="E21" s="172">
        <v>0.0</v>
      </c>
      <c r="F21" s="171">
        <f>D21+D21*E21</f>
        <v>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6" width="12.63"/>
  </cols>
  <sheetData>
    <row r="1" ht="15.75" customHeight="1">
      <c r="A1" s="196" t="s">
        <v>82</v>
      </c>
      <c r="B1" s="196" t="s">
        <v>83</v>
      </c>
      <c r="C1" s="201" t="s">
        <v>84</v>
      </c>
      <c r="D1" s="184" t="s">
        <v>198</v>
      </c>
      <c r="E1" s="159"/>
      <c r="F1" s="188">
        <v>1950.0</v>
      </c>
    </row>
    <row r="2" ht="15.75" customHeight="1">
      <c r="A2" s="199" t="s">
        <v>281</v>
      </c>
      <c r="B2" s="199" t="s">
        <v>282</v>
      </c>
      <c r="C2" s="200" t="s">
        <v>283</v>
      </c>
      <c r="D2" s="184" t="s">
        <v>198</v>
      </c>
      <c r="E2" s="159"/>
      <c r="F2" s="163">
        <v>1750.0</v>
      </c>
    </row>
    <row r="3" ht="15.75" customHeight="1">
      <c r="A3" s="206" t="s">
        <v>284</v>
      </c>
      <c r="B3" s="206" t="s">
        <v>285</v>
      </c>
      <c r="C3" s="206">
        <v>65270.0</v>
      </c>
      <c r="D3" s="184" t="s">
        <v>198</v>
      </c>
      <c r="E3" s="159"/>
      <c r="F3" s="197">
        <v>900.0</v>
      </c>
    </row>
    <row r="4" ht="15.75" customHeight="1">
      <c r="A4" s="206" t="s">
        <v>286</v>
      </c>
      <c r="B4" s="206" t="s">
        <v>287</v>
      </c>
      <c r="C4" s="206">
        <v>65710.0</v>
      </c>
      <c r="D4" s="184" t="s">
        <v>198</v>
      </c>
      <c r="E4" s="159"/>
      <c r="F4" s="197">
        <v>850.0</v>
      </c>
    </row>
    <row r="5" ht="15.75" customHeight="1">
      <c r="A5" s="206" t="s">
        <v>288</v>
      </c>
      <c r="B5" s="206" t="s">
        <v>289</v>
      </c>
      <c r="C5" s="206">
        <v>83210.0</v>
      </c>
      <c r="D5" s="184" t="s">
        <v>198</v>
      </c>
      <c r="E5" s="159"/>
      <c r="F5" s="197">
        <v>900.0</v>
      </c>
    </row>
    <row r="6" ht="15.75" customHeight="1">
      <c r="A6" s="206" t="s">
        <v>290</v>
      </c>
      <c r="B6" s="206" t="s">
        <v>291</v>
      </c>
      <c r="C6" s="206">
        <v>83230.0</v>
      </c>
      <c r="D6" s="184" t="s">
        <v>198</v>
      </c>
      <c r="E6" s="159"/>
      <c r="F6" s="197">
        <v>1830.0</v>
      </c>
    </row>
    <row r="7" ht="15.75" customHeight="1">
      <c r="A7" s="206" t="s">
        <v>292</v>
      </c>
      <c r="B7" s="206" t="s">
        <v>293</v>
      </c>
      <c r="C7" s="206">
        <v>83550.0</v>
      </c>
      <c r="D7" s="184" t="s">
        <v>198</v>
      </c>
      <c r="E7" s="159"/>
      <c r="F7" s="197">
        <v>2830.0</v>
      </c>
    </row>
    <row r="8" ht="15.75" customHeight="1">
      <c r="A8" s="206" t="s">
        <v>294</v>
      </c>
      <c r="B8" s="206" t="s">
        <v>295</v>
      </c>
      <c r="C8" s="206">
        <v>83700.0</v>
      </c>
      <c r="D8" s="184" t="s">
        <v>198</v>
      </c>
      <c r="E8" s="159"/>
      <c r="F8" s="197">
        <v>1790.0</v>
      </c>
    </row>
    <row r="9" ht="15.75" customHeight="1">
      <c r="A9" s="206" t="s">
        <v>296</v>
      </c>
      <c r="B9" s="206" t="s">
        <v>297</v>
      </c>
      <c r="C9" s="206">
        <v>6000.0</v>
      </c>
      <c r="D9" s="184" t="s">
        <v>198</v>
      </c>
      <c r="E9" s="159"/>
      <c r="F9" s="197">
        <v>1200.0</v>
      </c>
    </row>
    <row r="10" ht="15.75" customHeight="1">
      <c r="A10" s="206" t="s">
        <v>298</v>
      </c>
      <c r="B10" s="206" t="s">
        <v>299</v>
      </c>
      <c r="C10" s="206">
        <v>6560.0</v>
      </c>
      <c r="D10" s="184" t="s">
        <v>198</v>
      </c>
      <c r="E10" s="159"/>
      <c r="F10" s="197">
        <v>1300.0</v>
      </c>
    </row>
    <row r="11" ht="15.75" customHeight="1">
      <c r="A11" s="206" t="s">
        <v>300</v>
      </c>
      <c r="B11" s="206" t="s">
        <v>301</v>
      </c>
      <c r="C11" s="206">
        <v>6480.0</v>
      </c>
      <c r="D11" s="184" t="s">
        <v>198</v>
      </c>
      <c r="E11" s="159"/>
      <c r="F11" s="197">
        <v>1830.0</v>
      </c>
    </row>
    <row r="12" ht="15.75" customHeight="1">
      <c r="F12" s="94">
        <f>SUM(F1:F11)</f>
        <v>17130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8:E8"/>
    <mergeCell ref="D9:E9"/>
    <mergeCell ref="D10:E10"/>
    <mergeCell ref="D11:E11"/>
    <mergeCell ref="D1:E1"/>
    <mergeCell ref="D2:E2"/>
    <mergeCell ref="D3:E3"/>
    <mergeCell ref="D4:E4"/>
    <mergeCell ref="D5:E5"/>
    <mergeCell ref="D6:E6"/>
    <mergeCell ref="D7:E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  <col customWidth="1" min="10" max="10" width="28.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302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150"/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303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207" t="s">
        <v>192</v>
      </c>
      <c r="B13" s="207" t="s">
        <v>2</v>
      </c>
      <c r="C13" s="207" t="s">
        <v>3</v>
      </c>
      <c r="D13" s="208" t="s">
        <v>193</v>
      </c>
      <c r="E13" s="159"/>
      <c r="F13" s="207" t="s">
        <v>194</v>
      </c>
    </row>
    <row r="14" ht="15.75" customHeight="1">
      <c r="A14" s="196" t="s">
        <v>82</v>
      </c>
      <c r="B14" s="196" t="s">
        <v>83</v>
      </c>
      <c r="C14" s="201" t="s">
        <v>84</v>
      </c>
      <c r="D14" s="184" t="s">
        <v>198</v>
      </c>
      <c r="E14" s="159"/>
      <c r="F14" s="188">
        <v>1950.0</v>
      </c>
      <c r="G14" s="209"/>
      <c r="H14" s="12" t="s">
        <v>304</v>
      </c>
    </row>
    <row r="15" ht="15.75" customHeight="1">
      <c r="A15" s="210" t="s">
        <v>195</v>
      </c>
      <c r="B15" s="210" t="s">
        <v>196</v>
      </c>
      <c r="C15" s="211" t="s">
        <v>197</v>
      </c>
      <c r="D15" s="212" t="s">
        <v>198</v>
      </c>
      <c r="E15" s="159"/>
      <c r="F15" s="213">
        <v>800.0</v>
      </c>
      <c r="G15" s="12"/>
      <c r="H15" s="12" t="s">
        <v>305</v>
      </c>
    </row>
    <row r="16" ht="15.75" customHeight="1">
      <c r="A16" s="214" t="s">
        <v>199</v>
      </c>
      <c r="B16" s="215" t="s">
        <v>200</v>
      </c>
      <c r="C16" s="211" t="s">
        <v>201</v>
      </c>
      <c r="D16" s="212" t="s">
        <v>198</v>
      </c>
      <c r="E16" s="159"/>
      <c r="F16" s="213">
        <v>700.0</v>
      </c>
      <c r="G16" s="205"/>
      <c r="H16" s="12" t="s">
        <v>305</v>
      </c>
    </row>
    <row r="17" ht="15.75" customHeight="1">
      <c r="A17" s="214" t="s">
        <v>202</v>
      </c>
      <c r="B17" s="210" t="s">
        <v>203</v>
      </c>
      <c r="C17" s="211" t="s">
        <v>204</v>
      </c>
      <c r="D17" s="212" t="s">
        <v>198</v>
      </c>
      <c r="E17" s="159"/>
      <c r="F17" s="213">
        <v>960.0</v>
      </c>
      <c r="G17" s="205"/>
      <c r="H17" s="205" t="s">
        <v>305</v>
      </c>
    </row>
    <row r="18" ht="15.75" customHeight="1">
      <c r="A18" s="216" t="s">
        <v>220</v>
      </c>
      <c r="B18" s="217" t="s">
        <v>221</v>
      </c>
      <c r="C18" s="218" t="s">
        <v>71</v>
      </c>
      <c r="D18" s="219" t="s">
        <v>198</v>
      </c>
      <c r="E18" s="159"/>
      <c r="F18" s="220">
        <v>700.0</v>
      </c>
      <c r="G18" s="205"/>
      <c r="H18" s="205" t="s">
        <v>305</v>
      </c>
    </row>
    <row r="19" ht="15.75" customHeight="1">
      <c r="A19" s="204" t="s">
        <v>273</v>
      </c>
      <c r="B19" s="182" t="s">
        <v>274</v>
      </c>
      <c r="C19" s="187" t="s">
        <v>275</v>
      </c>
      <c r="D19" s="184" t="s">
        <v>198</v>
      </c>
      <c r="E19" s="159"/>
      <c r="F19" s="188">
        <v>1050.0</v>
      </c>
      <c r="G19" s="221"/>
      <c r="H19" s="205" t="s">
        <v>306</v>
      </c>
    </row>
    <row r="20" ht="15.75" customHeight="1">
      <c r="A20" s="222" t="s">
        <v>222</v>
      </c>
      <c r="B20" s="222" t="s">
        <v>223</v>
      </c>
      <c r="C20" s="223" t="s">
        <v>224</v>
      </c>
      <c r="D20" s="224" t="s">
        <v>198</v>
      </c>
      <c r="E20" s="159"/>
      <c r="F20" s="225">
        <v>700.0</v>
      </c>
      <c r="G20" s="205"/>
      <c r="H20" s="12" t="s">
        <v>305</v>
      </c>
      <c r="J20" s="204" t="s">
        <v>273</v>
      </c>
      <c r="K20" s="182" t="s">
        <v>274</v>
      </c>
      <c r="L20" s="93" t="s">
        <v>307</v>
      </c>
    </row>
    <row r="21" ht="15.75" customHeight="1">
      <c r="A21" s="186" t="s">
        <v>232</v>
      </c>
      <c r="B21" s="186" t="s">
        <v>276</v>
      </c>
      <c r="C21" s="187" t="s">
        <v>234</v>
      </c>
      <c r="D21" s="184" t="s">
        <v>198</v>
      </c>
      <c r="E21" s="159"/>
      <c r="F21" s="188">
        <f>1620+50</f>
        <v>1670</v>
      </c>
      <c r="G21" s="221" t="s">
        <v>308</v>
      </c>
      <c r="H21" s="12" t="s">
        <v>306</v>
      </c>
      <c r="I21" s="226" t="s">
        <v>309</v>
      </c>
      <c r="J21" s="186" t="s">
        <v>232</v>
      </c>
      <c r="K21" s="186" t="s">
        <v>276</v>
      </c>
      <c r="L21" s="93" t="s">
        <v>310</v>
      </c>
    </row>
    <row r="22" ht="15.75" customHeight="1">
      <c r="A22" s="227" t="s">
        <v>225</v>
      </c>
      <c r="B22" s="227" t="s">
        <v>226</v>
      </c>
      <c r="C22" s="228" t="s">
        <v>227</v>
      </c>
      <c r="D22" s="219" t="s">
        <v>198</v>
      </c>
      <c r="E22" s="159"/>
      <c r="F22" s="229">
        <v>700.0</v>
      </c>
      <c r="G22" s="12"/>
      <c r="H22" s="12" t="s">
        <v>305</v>
      </c>
      <c r="I22" s="226"/>
      <c r="J22" s="198" t="s">
        <v>277</v>
      </c>
      <c r="K22" s="199" t="s">
        <v>278</v>
      </c>
      <c r="L22" s="93" t="s">
        <v>311</v>
      </c>
    </row>
    <row r="23" ht="15.75" customHeight="1">
      <c r="A23" s="230" t="s">
        <v>261</v>
      </c>
      <c r="B23" s="230" t="s">
        <v>262</v>
      </c>
      <c r="C23" s="231" t="s">
        <v>263</v>
      </c>
      <c r="D23" s="232" t="s">
        <v>198</v>
      </c>
      <c r="E23" s="159"/>
      <c r="F23" s="233">
        <v>1750.0</v>
      </c>
      <c r="G23" s="234" t="s">
        <v>308</v>
      </c>
      <c r="H23" s="12" t="s">
        <v>312</v>
      </c>
      <c r="I23" s="226"/>
      <c r="J23" s="199"/>
      <c r="K23" s="199"/>
      <c r="Q23" s="230" t="s">
        <v>261</v>
      </c>
      <c r="R23" s="230" t="s">
        <v>262</v>
      </c>
      <c r="S23" s="93" t="s">
        <v>313</v>
      </c>
    </row>
    <row r="24" ht="15.75" customHeight="1">
      <c r="A24" s="235" t="s">
        <v>229</v>
      </c>
      <c r="B24" s="235" t="s">
        <v>230</v>
      </c>
      <c r="C24" s="236" t="s">
        <v>231</v>
      </c>
      <c r="D24" s="237" t="s">
        <v>198</v>
      </c>
      <c r="E24" s="159"/>
      <c r="F24" s="238">
        <v>2330.0</v>
      </c>
      <c r="G24" s="12" t="s">
        <v>308</v>
      </c>
      <c r="H24" s="12" t="s">
        <v>305</v>
      </c>
      <c r="I24" s="226"/>
      <c r="J24" s="239" t="s">
        <v>314</v>
      </c>
      <c r="K24" s="239" t="s">
        <v>315</v>
      </c>
      <c r="L24" s="93" t="s">
        <v>316</v>
      </c>
      <c r="Q24" s="240" t="s">
        <v>265</v>
      </c>
      <c r="R24" s="240" t="s">
        <v>266</v>
      </c>
      <c r="S24" s="93" t="s">
        <v>317</v>
      </c>
    </row>
    <row r="25" ht="15.75" customHeight="1">
      <c r="A25" s="235" t="s">
        <v>232</v>
      </c>
      <c r="B25" s="235" t="s">
        <v>233</v>
      </c>
      <c r="C25" s="236" t="s">
        <v>234</v>
      </c>
      <c r="D25" s="237" t="s">
        <v>198</v>
      </c>
      <c r="E25" s="159"/>
      <c r="F25" s="238">
        <v>1930.0</v>
      </c>
      <c r="G25" s="12"/>
      <c r="H25" s="12" t="s">
        <v>305</v>
      </c>
      <c r="I25" s="226" t="s">
        <v>318</v>
      </c>
      <c r="J25" s="196" t="s">
        <v>319</v>
      </c>
      <c r="K25" s="196" t="s">
        <v>320</v>
      </c>
      <c r="L25" s="93" t="s">
        <v>321</v>
      </c>
      <c r="Q25" s="240" t="s">
        <v>267</v>
      </c>
      <c r="R25" s="240" t="s">
        <v>268</v>
      </c>
      <c r="S25" s="93" t="s">
        <v>322</v>
      </c>
    </row>
    <row r="26" ht="15.75" customHeight="1">
      <c r="A26" s="240" t="s">
        <v>265</v>
      </c>
      <c r="B26" s="240" t="s">
        <v>266</v>
      </c>
      <c r="C26" s="241" t="s">
        <v>30</v>
      </c>
      <c r="D26" s="242" t="s">
        <v>198</v>
      </c>
      <c r="E26" s="159"/>
      <c r="F26" s="243">
        <v>1200.0</v>
      </c>
      <c r="G26" s="234"/>
      <c r="H26" s="12" t="s">
        <v>323</v>
      </c>
      <c r="Q26" s="240" t="s">
        <v>269</v>
      </c>
      <c r="R26" s="240" t="s">
        <v>270</v>
      </c>
      <c r="S26" s="93" t="s">
        <v>324</v>
      </c>
    </row>
    <row r="27" ht="15.75" customHeight="1">
      <c r="A27" s="240" t="s">
        <v>267</v>
      </c>
      <c r="B27" s="240" t="s">
        <v>268</v>
      </c>
      <c r="C27" s="241" t="s">
        <v>26</v>
      </c>
      <c r="D27" s="242" t="s">
        <v>198</v>
      </c>
      <c r="E27" s="159"/>
      <c r="F27" s="243">
        <v>950.0</v>
      </c>
      <c r="G27" s="234"/>
      <c r="H27" s="12" t="s">
        <v>325</v>
      </c>
    </row>
    <row r="28" ht="15.75" customHeight="1">
      <c r="A28" s="198" t="s">
        <v>114</v>
      </c>
      <c r="B28" s="199" t="s">
        <v>115</v>
      </c>
      <c r="C28" s="200" t="s">
        <v>116</v>
      </c>
      <c r="D28" s="184" t="s">
        <v>253</v>
      </c>
      <c r="E28" s="159"/>
      <c r="F28" s="244">
        <v>1800.0</v>
      </c>
      <c r="G28" s="12" t="s">
        <v>326</v>
      </c>
      <c r="H28" s="163">
        <v>800.0</v>
      </c>
    </row>
    <row r="29" ht="15.75" customHeight="1">
      <c r="A29" s="198" t="s">
        <v>254</v>
      </c>
      <c r="B29" s="199" t="s">
        <v>255</v>
      </c>
      <c r="C29" s="200" t="s">
        <v>197</v>
      </c>
      <c r="D29" s="184" t="s">
        <v>253</v>
      </c>
      <c r="E29" s="159"/>
      <c r="F29" s="245"/>
      <c r="H29" s="163">
        <v>700.0</v>
      </c>
    </row>
    <row r="30" ht="15.75" customHeight="1">
      <c r="A30" s="198" t="s">
        <v>277</v>
      </c>
      <c r="B30" s="199" t="s">
        <v>278</v>
      </c>
      <c r="C30" s="200" t="s">
        <v>279</v>
      </c>
      <c r="D30" s="184" t="s">
        <v>198</v>
      </c>
      <c r="E30" s="159"/>
      <c r="F30" s="163">
        <v>1480.0</v>
      </c>
      <c r="G30" s="246" t="s">
        <v>308</v>
      </c>
      <c r="H30" s="12" t="s">
        <v>306</v>
      </c>
    </row>
    <row r="31" ht="15.75" customHeight="1">
      <c r="A31" s="240" t="s">
        <v>269</v>
      </c>
      <c r="B31" s="240" t="s">
        <v>270</v>
      </c>
      <c r="C31" s="241" t="s">
        <v>271</v>
      </c>
      <c r="D31" s="242" t="s">
        <v>198</v>
      </c>
      <c r="E31" s="159"/>
      <c r="F31" s="243">
        <v>1300.0</v>
      </c>
      <c r="G31" s="234"/>
      <c r="H31" s="12" t="s">
        <v>327</v>
      </c>
    </row>
    <row r="32" ht="15.75" customHeight="1">
      <c r="A32" s="199" t="s">
        <v>281</v>
      </c>
      <c r="B32" s="199" t="s">
        <v>282</v>
      </c>
      <c r="C32" s="200" t="s">
        <v>283</v>
      </c>
      <c r="D32" s="184" t="s">
        <v>198</v>
      </c>
      <c r="E32" s="159"/>
      <c r="F32" s="163">
        <v>1750.0</v>
      </c>
      <c r="G32" s="209" t="s">
        <v>308</v>
      </c>
      <c r="H32" s="12" t="s">
        <v>328</v>
      </c>
    </row>
    <row r="33" ht="15.75" customHeight="1">
      <c r="A33" s="247" t="s">
        <v>235</v>
      </c>
      <c r="B33" s="247" t="s">
        <v>236</v>
      </c>
      <c r="C33" s="247">
        <v>40000.0</v>
      </c>
      <c r="D33" s="237" t="s">
        <v>198</v>
      </c>
      <c r="E33" s="159"/>
      <c r="F33" s="248">
        <v>700.0</v>
      </c>
      <c r="H33" s="93" t="s">
        <v>305</v>
      </c>
    </row>
    <row r="34" ht="15.75" customHeight="1">
      <c r="A34" s="249" t="s">
        <v>246</v>
      </c>
      <c r="B34" s="249" t="s">
        <v>247</v>
      </c>
      <c r="C34" s="249">
        <v>40280.0</v>
      </c>
      <c r="D34" s="250" t="s">
        <v>198</v>
      </c>
      <c r="E34" s="159"/>
      <c r="F34" s="251">
        <v>700.0</v>
      </c>
      <c r="H34" s="93" t="s">
        <v>305</v>
      </c>
      <c r="L34" s="93" t="s">
        <v>329</v>
      </c>
    </row>
    <row r="35" ht="15.75" customHeight="1">
      <c r="A35" s="239" t="s">
        <v>314</v>
      </c>
      <c r="B35" s="239" t="s">
        <v>315</v>
      </c>
      <c r="C35" s="239">
        <v>64290.0</v>
      </c>
      <c r="D35" s="184" t="s">
        <v>198</v>
      </c>
      <c r="E35" s="159"/>
      <c r="F35" s="252">
        <v>700.0</v>
      </c>
      <c r="G35" s="246"/>
      <c r="H35" s="93" t="s">
        <v>306</v>
      </c>
      <c r="L35" s="93" t="s">
        <v>330</v>
      </c>
    </row>
    <row r="36" ht="15.75" customHeight="1">
      <c r="A36" s="253" t="s">
        <v>248</v>
      </c>
      <c r="B36" s="253" t="s">
        <v>249</v>
      </c>
      <c r="C36" s="253">
        <v>40465.0</v>
      </c>
      <c r="D36" s="250" t="s">
        <v>198</v>
      </c>
      <c r="E36" s="159"/>
      <c r="F36" s="254">
        <v>850.0</v>
      </c>
      <c r="H36" s="93" t="s">
        <v>305</v>
      </c>
      <c r="L36" s="93" t="s">
        <v>199</v>
      </c>
    </row>
    <row r="37" ht="15.75" customHeight="1">
      <c r="A37" s="253" t="s">
        <v>250</v>
      </c>
      <c r="B37" s="253" t="s">
        <v>251</v>
      </c>
      <c r="C37" s="253">
        <v>6140.0</v>
      </c>
      <c r="D37" s="250" t="s">
        <v>198</v>
      </c>
      <c r="E37" s="159"/>
      <c r="F37" s="254">
        <v>900.0</v>
      </c>
      <c r="H37" s="93" t="s">
        <v>305</v>
      </c>
      <c r="L37" s="93" t="s">
        <v>202</v>
      </c>
    </row>
    <row r="38" ht="15.75" customHeight="1">
      <c r="A38" s="230" t="s">
        <v>257</v>
      </c>
      <c r="B38" s="230" t="s">
        <v>258</v>
      </c>
      <c r="C38" s="230">
        <v>6220.0</v>
      </c>
      <c r="D38" s="232" t="s">
        <v>198</v>
      </c>
      <c r="E38" s="159"/>
      <c r="F38" s="233">
        <v>950.0</v>
      </c>
      <c r="H38" s="93" t="s">
        <v>331</v>
      </c>
      <c r="L38" s="93" t="s">
        <v>332</v>
      </c>
    </row>
    <row r="39" ht="15.75" customHeight="1">
      <c r="A39" s="196" t="s">
        <v>319</v>
      </c>
      <c r="B39" s="196" t="s">
        <v>320</v>
      </c>
      <c r="C39" s="196">
        <v>6150.0</v>
      </c>
      <c r="D39" s="184" t="s">
        <v>198</v>
      </c>
      <c r="E39" s="159"/>
      <c r="F39" s="197">
        <v>850.0</v>
      </c>
      <c r="G39" s="246"/>
      <c r="H39" s="93" t="s">
        <v>306</v>
      </c>
      <c r="L39" s="93" t="s">
        <v>333</v>
      </c>
    </row>
    <row r="40" ht="15.75" customHeight="1">
      <c r="A40" s="230" t="s">
        <v>259</v>
      </c>
      <c r="B40" s="230" t="s">
        <v>260</v>
      </c>
      <c r="C40" s="230">
        <v>64240.0</v>
      </c>
      <c r="D40" s="232" t="s">
        <v>198</v>
      </c>
      <c r="E40" s="159"/>
      <c r="F40" s="233">
        <v>800.0</v>
      </c>
      <c r="H40" s="93" t="s">
        <v>305</v>
      </c>
    </row>
    <row r="41" ht="15.75" customHeight="1">
      <c r="A41" s="206" t="s">
        <v>284</v>
      </c>
      <c r="B41" s="206" t="s">
        <v>285</v>
      </c>
      <c r="C41" s="206">
        <v>65270.0</v>
      </c>
      <c r="D41" s="184" t="s">
        <v>198</v>
      </c>
      <c r="E41" s="159"/>
      <c r="F41" s="197">
        <v>900.0</v>
      </c>
    </row>
    <row r="42" ht="15.75" customHeight="1">
      <c r="A42" s="206" t="s">
        <v>286</v>
      </c>
      <c r="B42" s="206" t="s">
        <v>287</v>
      </c>
      <c r="C42" s="206">
        <v>65710.0</v>
      </c>
      <c r="D42" s="184" t="s">
        <v>198</v>
      </c>
      <c r="E42" s="159"/>
      <c r="F42" s="197">
        <v>850.0</v>
      </c>
    </row>
    <row r="43" ht="15.75" customHeight="1">
      <c r="A43" s="206" t="s">
        <v>288</v>
      </c>
      <c r="B43" s="206" t="s">
        <v>289</v>
      </c>
      <c r="C43" s="206">
        <v>83210.0</v>
      </c>
      <c r="D43" s="184" t="s">
        <v>198</v>
      </c>
      <c r="E43" s="159"/>
      <c r="F43" s="197">
        <v>900.0</v>
      </c>
    </row>
    <row r="44" ht="15.75" customHeight="1">
      <c r="A44" s="206" t="s">
        <v>290</v>
      </c>
      <c r="B44" s="206" t="s">
        <v>291</v>
      </c>
      <c r="C44" s="206">
        <v>83230.0</v>
      </c>
      <c r="D44" s="184" t="s">
        <v>198</v>
      </c>
      <c r="E44" s="159"/>
      <c r="F44" s="197">
        <v>1830.0</v>
      </c>
    </row>
    <row r="45" ht="15.75" customHeight="1">
      <c r="A45" s="206" t="s">
        <v>292</v>
      </c>
      <c r="B45" s="206" t="s">
        <v>293</v>
      </c>
      <c r="C45" s="206">
        <v>83550.0</v>
      </c>
      <c r="D45" s="184" t="s">
        <v>198</v>
      </c>
      <c r="E45" s="159"/>
      <c r="F45" s="197">
        <v>2830.0</v>
      </c>
    </row>
    <row r="46" ht="15.75" customHeight="1">
      <c r="A46" s="206" t="s">
        <v>294</v>
      </c>
      <c r="B46" s="206" t="s">
        <v>295</v>
      </c>
      <c r="C46" s="206">
        <v>83700.0</v>
      </c>
      <c r="D46" s="184" t="s">
        <v>198</v>
      </c>
      <c r="E46" s="159"/>
      <c r="F46" s="197">
        <v>1790.0</v>
      </c>
    </row>
    <row r="47" ht="15.75" customHeight="1">
      <c r="A47" s="206" t="s">
        <v>296</v>
      </c>
      <c r="B47" s="206" t="s">
        <v>297</v>
      </c>
      <c r="C47" s="206">
        <v>6000.0</v>
      </c>
      <c r="D47" s="184" t="s">
        <v>198</v>
      </c>
      <c r="E47" s="159"/>
      <c r="F47" s="197">
        <v>1200.0</v>
      </c>
    </row>
    <row r="48" ht="15.75" customHeight="1">
      <c r="A48" s="206" t="s">
        <v>298</v>
      </c>
      <c r="B48" s="206" t="s">
        <v>299</v>
      </c>
      <c r="C48" s="206">
        <v>6560.0</v>
      </c>
      <c r="D48" s="184" t="s">
        <v>198</v>
      </c>
      <c r="E48" s="159"/>
      <c r="F48" s="197">
        <v>1300.0</v>
      </c>
    </row>
    <row r="49" ht="15.75" customHeight="1">
      <c r="A49" s="206" t="s">
        <v>300</v>
      </c>
      <c r="B49" s="206" t="s">
        <v>301</v>
      </c>
      <c r="C49" s="206">
        <v>6480.0</v>
      </c>
      <c r="D49" s="184" t="s">
        <v>198</v>
      </c>
      <c r="E49" s="159"/>
      <c r="F49" s="197">
        <v>1830.0</v>
      </c>
    </row>
    <row r="50" ht="15.75" customHeight="1">
      <c r="B50" s="146"/>
      <c r="C50" s="146"/>
      <c r="D50" s="165"/>
      <c r="E50" s="165"/>
      <c r="F50" s="166"/>
    </row>
    <row r="51" ht="15.75" customHeight="1">
      <c r="B51" s="146"/>
      <c r="C51" s="146"/>
      <c r="D51" s="165" t="s">
        <v>178</v>
      </c>
      <c r="F51" s="166">
        <f>SUM(F14:F40)</f>
        <v>30170</v>
      </c>
      <c r="G51" s="94">
        <f>SUM(F41:F50)</f>
        <v>13430</v>
      </c>
    </row>
    <row r="52" ht="15.75" customHeight="1">
      <c r="A52" s="146"/>
      <c r="B52" s="146"/>
      <c r="C52" s="146"/>
      <c r="D52" s="255"/>
      <c r="E52" s="255"/>
      <c r="F52" s="255"/>
    </row>
    <row r="53" ht="15.75" customHeight="1">
      <c r="A53" s="146"/>
      <c r="B53" s="146"/>
      <c r="C53" s="146"/>
      <c r="D53" s="167" t="s">
        <v>205</v>
      </c>
      <c r="E53" s="168"/>
      <c r="F53" s="169"/>
    </row>
    <row r="54" ht="15.75" customHeight="1">
      <c r="A54" s="146"/>
      <c r="B54" s="146"/>
      <c r="C54" s="146"/>
      <c r="D54" s="170" t="s">
        <v>206</v>
      </c>
      <c r="E54" s="170" t="s">
        <v>207</v>
      </c>
      <c r="F54" s="170" t="s">
        <v>5</v>
      </c>
    </row>
    <row r="55" ht="15.75" customHeight="1">
      <c r="A55" s="146"/>
      <c r="B55" s="146"/>
      <c r="C55" s="146"/>
      <c r="D55" s="171">
        <f>F51</f>
        <v>30170</v>
      </c>
      <c r="E55" s="172">
        <v>0.0</v>
      </c>
      <c r="F55" s="171">
        <f>D55+D55*E55</f>
        <v>30170</v>
      </c>
    </row>
    <row r="56" ht="15.75" customHeight="1">
      <c r="A56" s="146"/>
      <c r="B56" s="146"/>
      <c r="C56" s="146"/>
      <c r="D56" s="173"/>
      <c r="E56" s="173"/>
      <c r="F56" s="173"/>
    </row>
    <row r="57" ht="15.75" customHeight="1">
      <c r="A57" s="146"/>
      <c r="B57" s="146"/>
      <c r="C57" s="146"/>
      <c r="D57" s="174" t="s">
        <v>208</v>
      </c>
      <c r="E57" s="168"/>
      <c r="F57" s="169"/>
    </row>
    <row r="58" ht="15.75" customHeight="1">
      <c r="A58" s="175" t="s">
        <v>209</v>
      </c>
      <c r="B58" s="146" t="s">
        <v>210</v>
      </c>
      <c r="C58" s="146"/>
      <c r="D58" s="146"/>
      <c r="E58" s="146"/>
    </row>
    <row r="59" ht="15.75" customHeight="1">
      <c r="A59" s="175" t="s">
        <v>211</v>
      </c>
      <c r="B59" s="146" t="s">
        <v>212</v>
      </c>
      <c r="C59" s="146"/>
      <c r="D59" s="146"/>
      <c r="E59" s="146"/>
    </row>
    <row r="60" ht="15.75" customHeight="1">
      <c r="A60" s="146"/>
      <c r="B60" s="146"/>
      <c r="C60" s="146"/>
      <c r="D60" s="146"/>
      <c r="E60" s="146"/>
    </row>
    <row r="61" ht="15.75" customHeight="1">
      <c r="A61" s="176" t="s">
        <v>213</v>
      </c>
      <c r="B61" s="177"/>
      <c r="C61" s="146"/>
      <c r="D61" s="146"/>
      <c r="E61" s="146"/>
    </row>
    <row r="62" ht="15.75" customHeight="1">
      <c r="A62" s="146"/>
      <c r="B62" s="146"/>
      <c r="C62" s="146"/>
      <c r="D62" s="146"/>
      <c r="E62" s="146"/>
    </row>
    <row r="63" ht="15.75" customHeight="1">
      <c r="A63" s="178" t="s">
        <v>214</v>
      </c>
      <c r="B63" s="146" t="s">
        <v>215</v>
      </c>
      <c r="C63" s="146"/>
      <c r="D63" s="146"/>
      <c r="E63" s="146"/>
    </row>
    <row r="64" ht="15.75" customHeight="1">
      <c r="A64" s="178" t="s">
        <v>216</v>
      </c>
      <c r="B64" s="146" t="s">
        <v>217</v>
      </c>
      <c r="C64" s="146"/>
      <c r="D64" s="146"/>
      <c r="E64" s="146"/>
    </row>
    <row r="65" ht="15.75" customHeight="1">
      <c r="A65" s="179" t="s">
        <v>218</v>
      </c>
      <c r="B65" s="180"/>
      <c r="C65" s="180"/>
      <c r="D65" s="180"/>
      <c r="E65" s="180"/>
      <c r="F65" s="180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E7:F11"/>
    <mergeCell ref="B8:C8"/>
    <mergeCell ref="B9:C9"/>
    <mergeCell ref="B10:C1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F28:F29"/>
    <mergeCell ref="G28:G29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A61:B61"/>
    <mergeCell ref="A65:F65"/>
    <mergeCell ref="D49:E49"/>
    <mergeCell ref="D51:E51"/>
    <mergeCell ref="D53:F53"/>
    <mergeCell ref="D55:D56"/>
    <mergeCell ref="E55:E56"/>
    <mergeCell ref="F55:F56"/>
    <mergeCell ref="D57:F5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4.25"/>
    <col customWidth="1" min="3" max="3" width="16.63"/>
    <col customWidth="1" min="4" max="4" width="12.63"/>
    <col customWidth="1" min="5" max="5" width="14.25"/>
    <col customWidth="1" min="6" max="6" width="12.25"/>
  </cols>
  <sheetData>
    <row r="1" ht="15.75" customHeight="1">
      <c r="A1" s="144"/>
      <c r="B1" s="144"/>
      <c r="C1" s="144"/>
      <c r="D1" s="144"/>
      <c r="E1" s="144"/>
      <c r="F1" s="144"/>
    </row>
    <row r="2" ht="15.75" customHeight="1">
      <c r="A2" s="145"/>
      <c r="B2" s="145"/>
      <c r="C2" s="145"/>
      <c r="D2" s="146"/>
      <c r="E2" s="147" t="s">
        <v>179</v>
      </c>
      <c r="F2" s="148" t="s">
        <v>334</v>
      </c>
    </row>
    <row r="3" ht="15.75" customHeight="1">
      <c r="A3" s="145"/>
      <c r="B3" s="145"/>
      <c r="C3" s="145"/>
      <c r="D3" s="146"/>
      <c r="E3" s="146"/>
      <c r="F3" s="146"/>
    </row>
    <row r="4" ht="15.75" customHeight="1">
      <c r="A4" s="145"/>
      <c r="B4" s="145"/>
      <c r="C4" s="145"/>
      <c r="D4" s="146"/>
      <c r="E4" s="149" t="s">
        <v>181</v>
      </c>
      <c r="F4" s="203">
        <v>46185.0</v>
      </c>
    </row>
    <row r="5" ht="15.75" customHeight="1">
      <c r="A5" s="145"/>
      <c r="B5" s="145"/>
      <c r="C5" s="145"/>
      <c r="D5" s="146"/>
      <c r="E5" s="146"/>
      <c r="F5" s="146"/>
    </row>
    <row r="6" ht="15.75" customHeight="1">
      <c r="A6" s="145"/>
      <c r="B6" s="145"/>
      <c r="C6" s="145"/>
      <c r="D6" s="145"/>
      <c r="E6" s="145"/>
      <c r="F6" s="145"/>
    </row>
    <row r="7" ht="15.75" customHeight="1">
      <c r="A7" s="151" t="s">
        <v>182</v>
      </c>
      <c r="B7" s="152" t="s">
        <v>183</v>
      </c>
      <c r="C7" s="153"/>
      <c r="D7" s="145"/>
      <c r="E7" s="154" t="s">
        <v>184</v>
      </c>
    </row>
    <row r="8" ht="15.75" customHeight="1">
      <c r="A8" s="151" t="s">
        <v>185</v>
      </c>
      <c r="B8" s="155" t="s">
        <v>186</v>
      </c>
      <c r="D8" s="145"/>
    </row>
    <row r="9" ht="15.75" customHeight="1">
      <c r="A9" s="151" t="s">
        <v>187</v>
      </c>
      <c r="B9" s="156">
        <v>8.4910955800023E13</v>
      </c>
      <c r="D9" s="145"/>
    </row>
    <row r="10" ht="15.75" customHeight="1">
      <c r="A10" s="151" t="s">
        <v>188</v>
      </c>
      <c r="B10" s="155" t="s">
        <v>189</v>
      </c>
      <c r="D10" s="145"/>
    </row>
    <row r="11" ht="15.75" customHeight="1">
      <c r="A11" s="151" t="s">
        <v>190</v>
      </c>
      <c r="B11" s="155" t="s">
        <v>191</v>
      </c>
      <c r="C11" s="153"/>
      <c r="D11" s="145"/>
    </row>
    <row r="12" ht="15.75" customHeight="1">
      <c r="A12" s="145"/>
      <c r="B12" s="145"/>
      <c r="C12" s="145"/>
      <c r="D12" s="145"/>
      <c r="E12" s="145"/>
      <c r="F12" s="145"/>
    </row>
    <row r="13" ht="15.75" customHeight="1">
      <c r="A13" s="157" t="s">
        <v>192</v>
      </c>
      <c r="B13" s="157" t="s">
        <v>2</v>
      </c>
      <c r="C13" s="157" t="s">
        <v>3</v>
      </c>
      <c r="D13" s="158" t="s">
        <v>193</v>
      </c>
      <c r="E13" s="159"/>
      <c r="F13" s="157" t="s">
        <v>194</v>
      </c>
    </row>
    <row r="14" ht="15.75" customHeight="1">
      <c r="A14" s="239" t="s">
        <v>314</v>
      </c>
      <c r="B14" s="239" t="s">
        <v>315</v>
      </c>
      <c r="C14" s="256" t="s">
        <v>55</v>
      </c>
      <c r="D14" s="184" t="s">
        <v>198</v>
      </c>
      <c r="E14" s="159"/>
      <c r="F14" s="252">
        <v>850.0</v>
      </c>
    </row>
    <row r="15" ht="15.75" customHeight="1">
      <c r="A15" s="196" t="s">
        <v>319</v>
      </c>
      <c r="B15" s="196" t="s">
        <v>320</v>
      </c>
      <c r="C15" s="201" t="s">
        <v>79</v>
      </c>
      <c r="D15" s="184" t="s">
        <v>198</v>
      </c>
      <c r="E15" s="159"/>
      <c r="F15" s="197">
        <v>950.0</v>
      </c>
    </row>
    <row r="16" ht="15.75" customHeight="1">
      <c r="A16" s="160" t="s">
        <v>284</v>
      </c>
      <c r="B16" s="161" t="s">
        <v>285</v>
      </c>
      <c r="C16" s="161" t="s">
        <v>335</v>
      </c>
      <c r="D16" s="184" t="s">
        <v>198</v>
      </c>
      <c r="E16" s="159"/>
      <c r="F16" s="163">
        <v>900.0</v>
      </c>
    </row>
    <row r="17" ht="15.75" customHeight="1">
      <c r="A17" s="146"/>
      <c r="B17" s="146"/>
      <c r="C17" s="146"/>
      <c r="D17" s="146"/>
      <c r="F17" s="164"/>
    </row>
    <row r="18" ht="15.75" customHeight="1">
      <c r="A18" s="146"/>
      <c r="B18" s="146"/>
      <c r="C18" s="146"/>
      <c r="D18" s="165" t="s">
        <v>178</v>
      </c>
      <c r="F18" s="166">
        <f>SUM(F14:F16)</f>
        <v>2700</v>
      </c>
    </row>
    <row r="19" ht="15.75" customHeight="1">
      <c r="A19" s="146"/>
      <c r="B19" s="146"/>
      <c r="C19" s="146"/>
      <c r="D19" s="167" t="s">
        <v>205</v>
      </c>
      <c r="E19" s="168"/>
      <c r="F19" s="169"/>
    </row>
    <row r="20" ht="15.75" customHeight="1">
      <c r="A20" s="146"/>
      <c r="B20" s="146"/>
      <c r="C20" s="146"/>
      <c r="D20" s="170" t="s">
        <v>206</v>
      </c>
      <c r="E20" s="170" t="s">
        <v>207</v>
      </c>
      <c r="F20" s="170" t="s">
        <v>5</v>
      </c>
    </row>
    <row r="21" ht="15.75" customHeight="1">
      <c r="A21" s="146"/>
      <c r="B21" s="146"/>
      <c r="C21" s="146"/>
      <c r="D21" s="171">
        <f>F18</f>
        <v>2700</v>
      </c>
      <c r="E21" s="172">
        <v>0.0</v>
      </c>
      <c r="F21" s="171">
        <f>D21+D21*E21</f>
        <v>2700</v>
      </c>
    </row>
    <row r="22" ht="15.75" customHeight="1">
      <c r="A22" s="146"/>
      <c r="B22" s="146"/>
      <c r="C22" s="146"/>
      <c r="D22" s="173"/>
      <c r="E22" s="173"/>
      <c r="F22" s="173"/>
    </row>
    <row r="23" ht="15.75" customHeight="1">
      <c r="A23" s="146"/>
      <c r="B23" s="146"/>
      <c r="C23" s="146"/>
      <c r="D23" s="174" t="s">
        <v>208</v>
      </c>
      <c r="E23" s="168"/>
      <c r="F23" s="169"/>
    </row>
    <row r="24" ht="15.75" customHeight="1">
      <c r="A24" s="175" t="s">
        <v>209</v>
      </c>
      <c r="B24" s="146" t="s">
        <v>210</v>
      </c>
      <c r="C24" s="146"/>
      <c r="D24" s="146"/>
      <c r="E24" s="146"/>
    </row>
    <row r="25" ht="15.75" customHeight="1">
      <c r="A25" s="175" t="s">
        <v>211</v>
      </c>
      <c r="B25" s="146" t="s">
        <v>212</v>
      </c>
      <c r="C25" s="146"/>
      <c r="D25" s="146"/>
      <c r="E25" s="146"/>
    </row>
    <row r="26" ht="15.75" customHeight="1">
      <c r="A26" s="146"/>
      <c r="B26" s="146"/>
      <c r="C26" s="146"/>
      <c r="D26" s="146"/>
      <c r="E26" s="146"/>
    </row>
    <row r="27" ht="15.75" customHeight="1">
      <c r="A27" s="176" t="s">
        <v>213</v>
      </c>
      <c r="B27" s="177"/>
      <c r="C27" s="146"/>
      <c r="D27" s="146"/>
      <c r="E27" s="146"/>
    </row>
    <row r="28" ht="15.75" customHeight="1">
      <c r="A28" s="146"/>
      <c r="B28" s="146"/>
      <c r="C28" s="146"/>
      <c r="D28" s="146"/>
      <c r="E28" s="146"/>
    </row>
    <row r="29" ht="15.75" customHeight="1">
      <c r="A29" s="178" t="s">
        <v>214</v>
      </c>
      <c r="B29" s="146" t="s">
        <v>215</v>
      </c>
      <c r="C29" s="146"/>
      <c r="D29" s="146"/>
      <c r="E29" s="146"/>
    </row>
    <row r="30" ht="15.75" customHeight="1">
      <c r="A30" s="178" t="s">
        <v>216</v>
      </c>
      <c r="B30" s="146" t="s">
        <v>217</v>
      </c>
      <c r="C30" s="146"/>
      <c r="D30" s="146"/>
      <c r="E30" s="146"/>
    </row>
    <row r="31" ht="15.75" customHeight="1">
      <c r="A31" s="179" t="s">
        <v>218</v>
      </c>
      <c r="B31" s="180"/>
      <c r="C31" s="180"/>
      <c r="D31" s="180"/>
      <c r="E31" s="180"/>
      <c r="F31" s="18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F11"/>
    <mergeCell ref="B8:C8"/>
    <mergeCell ref="B9:C9"/>
    <mergeCell ref="B10:C10"/>
    <mergeCell ref="D13:E13"/>
    <mergeCell ref="D14:E14"/>
    <mergeCell ref="D15:E15"/>
    <mergeCell ref="D21:D22"/>
    <mergeCell ref="A27:B27"/>
    <mergeCell ref="A31:F31"/>
    <mergeCell ref="D16:E16"/>
    <mergeCell ref="D17:E17"/>
    <mergeCell ref="D18:E18"/>
    <mergeCell ref="D19:F19"/>
    <mergeCell ref="E21:E22"/>
    <mergeCell ref="F21:F22"/>
    <mergeCell ref="D23:F2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